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mc:AlternateContent xmlns:mc="http://schemas.openxmlformats.org/markup-compatibility/2006">
    <mc:Choice Requires="x15">
      <x15ac:absPath xmlns:x15ac="http://schemas.microsoft.com/office/spreadsheetml/2010/11/ac" url="D:\2021 Inviati agli studenti\"/>
    </mc:Choice>
  </mc:AlternateContent>
  <xr:revisionPtr revIDLastSave="0" documentId="13_ncr:1_{0D3E7B0A-86C6-4F60-AE19-BEFBC20F9BD7}" xr6:coauthVersionLast="46" xr6:coauthVersionMax="46" xr10:uidLastSave="{00000000-0000-0000-0000-000000000000}"/>
  <bookViews>
    <workbookView xWindow="-108" yWindow="-108" windowWidth="23256" windowHeight="12576" activeTab="3" xr2:uid="{00000000-000D-0000-FFFF-FFFF00000000}"/>
  </bookViews>
  <sheets>
    <sheet name="sizing" sheetId="10" r:id="rId1"/>
    <sheet name="x86 TCO" sheetId="11" r:id="rId2"/>
    <sheet name="LinuxONE TCO" sheetId="14" r:id="rId3"/>
    <sheet name="TCO comparison" sheetId="1" r:id="rId4"/>
    <sheet name="Data" sheetId="16" r:id="rId5"/>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01" i="11" l="1"/>
  <c r="I40" i="11" l="1"/>
  <c r="D27" i="14" l="1"/>
  <c r="I28" i="16"/>
  <c r="G25" i="16" l="1"/>
  <c r="F25" i="16" s="1" a="1"/>
  <c r="F25" i="16" s="1"/>
  <c r="G12" i="16"/>
  <c r="B5" i="11"/>
  <c r="D108" i="11"/>
  <c r="D104" i="14"/>
  <c r="D97" i="14"/>
  <c r="L11" i="11"/>
  <c r="J11" i="11"/>
  <c r="I11" i="11"/>
  <c r="H11" i="11"/>
  <c r="F11" i="11"/>
  <c r="E11" i="11"/>
  <c r="C11" i="11"/>
  <c r="A11" i="11"/>
  <c r="A5" i="11" s="1" a="1"/>
  <c r="A5" i="11" s="1"/>
  <c r="L10" i="11"/>
  <c r="J10" i="11"/>
  <c r="I10" i="11"/>
  <c r="H10" i="11"/>
  <c r="F10" i="11"/>
  <c r="E10" i="11"/>
  <c r="A10" i="11"/>
  <c r="H31" i="11" l="1"/>
  <c r="H27" i="14"/>
  <c r="A25" i="16" a="1"/>
  <c r="A25" i="16" s="1"/>
  <c r="D25" i="16" a="1"/>
  <c r="D25" i="16" s="1"/>
  <c r="B25" i="16" a="1"/>
  <c r="B25" i="16" s="1"/>
  <c r="E25" i="16" a="1"/>
  <c r="E25" i="16" s="1"/>
  <c r="C28" i="16"/>
  <c r="B28" i="16"/>
  <c r="B15" i="16"/>
  <c r="C34" i="16"/>
  <c r="C33" i="16"/>
  <c r="C25" i="16" s="1" a="1"/>
  <c r="C25" i="16" s="1"/>
  <c r="B29" i="16"/>
  <c r="C29" i="16" s="1"/>
  <c r="C20" i="16"/>
  <c r="B16" i="16"/>
  <c r="C15" i="16"/>
  <c r="B5" i="16"/>
  <c r="F6" i="16"/>
  <c r="C6" i="16"/>
  <c r="D11" i="11" s="1"/>
  <c r="F5" i="16"/>
  <c r="D23" i="11"/>
  <c r="D31" i="11" l="1"/>
  <c r="C31" i="11"/>
  <c r="C27" i="14"/>
  <c r="E31" i="11"/>
  <c r="E27" i="14"/>
  <c r="G31" i="11"/>
  <c r="G27" i="14"/>
  <c r="C16" i="16"/>
  <c r="C5" i="16"/>
  <c r="D10" i="11" s="1"/>
  <c r="C10" i="11"/>
  <c r="E37" i="11"/>
  <c r="E47" i="11" s="1"/>
  <c r="E57" i="11" s="1"/>
  <c r="E67" i="11" s="1"/>
  <c r="D29" i="11" l="1"/>
  <c r="D34" i="11"/>
  <c r="D33" i="11"/>
  <c r="D7" i="11"/>
  <c r="D8" i="11"/>
  <c r="D9" i="11"/>
  <c r="D6" i="11"/>
  <c r="G9" i="11"/>
  <c r="C5" i="10" l="1"/>
  <c r="D5" i="10" s="1"/>
  <c r="G6" i="11"/>
  <c r="G7" i="11"/>
  <c r="G8" i="11"/>
  <c r="V120" i="11" l="1"/>
  <c r="U120" i="11"/>
  <c r="T120" i="11"/>
  <c r="S120" i="11"/>
  <c r="R120" i="11"/>
  <c r="V119" i="11"/>
  <c r="U119" i="11"/>
  <c r="T119" i="11"/>
  <c r="S119" i="11"/>
  <c r="R119" i="11"/>
  <c r="V118" i="11"/>
  <c r="U118" i="11"/>
  <c r="T118" i="11"/>
  <c r="S118" i="11"/>
  <c r="R118" i="11"/>
  <c r="V117" i="11"/>
  <c r="U117" i="11"/>
  <c r="T117" i="11"/>
  <c r="S117" i="11"/>
  <c r="R117" i="11"/>
  <c r="V116" i="11"/>
  <c r="U116" i="11"/>
  <c r="T116" i="11"/>
  <c r="S116" i="11"/>
  <c r="R116" i="11"/>
  <c r="C1" i="1" l="1"/>
  <c r="D4" i="10" l="1"/>
  <c r="K104" i="14" l="1"/>
  <c r="K105" i="14" s="1"/>
  <c r="H5" i="10"/>
  <c r="J4" i="10" l="1"/>
  <c r="J5" i="10" s="1"/>
  <c r="D12" i="14" s="1"/>
  <c r="D13" i="14"/>
  <c r="D11" i="14"/>
  <c r="D22" i="11"/>
  <c r="D20" i="11"/>
  <c r="G16" i="11"/>
  <c r="G15" i="11"/>
  <c r="B20" i="1"/>
  <c r="A16" i="1"/>
  <c r="B21" i="1"/>
  <c r="A17" i="1"/>
  <c r="D30" i="14"/>
  <c r="D29" i="14"/>
  <c r="D33" i="14"/>
  <c r="C33" i="14"/>
  <c r="D21" i="11" l="1"/>
  <c r="I44" i="11" l="1"/>
  <c r="I54" i="11" s="1"/>
  <c r="I64" i="11" s="1"/>
  <c r="I74" i="11" s="1"/>
  <c r="H44" i="11"/>
  <c r="H54" i="11" s="1"/>
  <c r="H64" i="11" s="1"/>
  <c r="H74" i="11" s="1"/>
  <c r="G44" i="11"/>
  <c r="G54" i="11" s="1"/>
  <c r="G64" i="11" s="1"/>
  <c r="G74" i="11" s="1"/>
  <c r="I43" i="11"/>
  <c r="I53" i="11" s="1"/>
  <c r="I63" i="11" s="1"/>
  <c r="I73" i="11" s="1"/>
  <c r="H43" i="11"/>
  <c r="H53" i="11" s="1"/>
  <c r="H63" i="11" s="1"/>
  <c r="H73" i="11" s="1"/>
  <c r="G43" i="11"/>
  <c r="G53" i="11" s="1"/>
  <c r="G63" i="11" s="1"/>
  <c r="G73" i="11" s="1"/>
  <c r="I42" i="11"/>
  <c r="I52" i="11" s="1"/>
  <c r="I62" i="11" s="1"/>
  <c r="I72" i="11" s="1"/>
  <c r="H42" i="11"/>
  <c r="H52" i="11" s="1"/>
  <c r="H62" i="11" s="1"/>
  <c r="H72" i="11" s="1"/>
  <c r="G42" i="11"/>
  <c r="G52" i="11" s="1"/>
  <c r="G62" i="11" s="1"/>
  <c r="G72" i="11" s="1"/>
  <c r="I41" i="11"/>
  <c r="I51" i="11" s="1"/>
  <c r="I61" i="11" s="1"/>
  <c r="I71" i="11" s="1"/>
  <c r="H41" i="11"/>
  <c r="H51" i="11" s="1"/>
  <c r="H61" i="11" s="1"/>
  <c r="H71" i="11" s="1"/>
  <c r="G41" i="11"/>
  <c r="G51" i="11" s="1"/>
  <c r="G61" i="11" s="1"/>
  <c r="G71" i="11" s="1"/>
  <c r="I50" i="11"/>
  <c r="I60" i="11" s="1"/>
  <c r="I70" i="11" s="1"/>
  <c r="I39" i="11"/>
  <c r="I49" i="11" s="1"/>
  <c r="I59" i="11" s="1"/>
  <c r="I69" i="11" s="1"/>
  <c r="H39" i="11"/>
  <c r="H49" i="11" s="1"/>
  <c r="H59" i="11" s="1"/>
  <c r="H69" i="11" s="1"/>
  <c r="G39" i="11"/>
  <c r="G49" i="11" s="1"/>
  <c r="G59" i="11" s="1"/>
  <c r="G69" i="11" s="1"/>
  <c r="I38" i="11"/>
  <c r="I48" i="11" s="1"/>
  <c r="I58" i="11" s="1"/>
  <c r="I68" i="11" s="1"/>
  <c r="H38" i="11"/>
  <c r="H48" i="11" s="1"/>
  <c r="H58" i="11" s="1"/>
  <c r="H68" i="11" s="1"/>
  <c r="G38" i="11"/>
  <c r="G48" i="11" s="1"/>
  <c r="G58" i="11" s="1"/>
  <c r="G68" i="11" s="1"/>
  <c r="G35" i="14"/>
  <c r="G45" i="14" s="1"/>
  <c r="G55" i="14" s="1"/>
  <c r="G65" i="14" s="1"/>
  <c r="H35" i="14"/>
  <c r="H45" i="14" s="1"/>
  <c r="H55" i="14" s="1"/>
  <c r="H65" i="14" s="1"/>
  <c r="I35" i="14"/>
  <c r="I45" i="14" s="1"/>
  <c r="I55" i="14" s="1"/>
  <c r="I65" i="14" s="1"/>
  <c r="I36" i="14"/>
  <c r="I46" i="14" s="1"/>
  <c r="I56" i="14" s="1"/>
  <c r="I66" i="14" s="1"/>
  <c r="G37" i="14"/>
  <c r="G47" i="14" s="1"/>
  <c r="G57" i="14" s="1"/>
  <c r="G67" i="14" s="1"/>
  <c r="H37" i="14"/>
  <c r="H47" i="14" s="1"/>
  <c r="H57" i="14" s="1"/>
  <c r="H67" i="14" s="1"/>
  <c r="I37" i="14"/>
  <c r="I47" i="14" s="1"/>
  <c r="I57" i="14" s="1"/>
  <c r="I67" i="14" s="1"/>
  <c r="G38" i="14"/>
  <c r="G48" i="14" s="1"/>
  <c r="G58" i="14" s="1"/>
  <c r="G68" i="14" s="1"/>
  <c r="H38" i="14"/>
  <c r="H48" i="14" s="1"/>
  <c r="H58" i="14" s="1"/>
  <c r="H68" i="14" s="1"/>
  <c r="I38" i="14"/>
  <c r="I48" i="14" s="1"/>
  <c r="I58" i="14" s="1"/>
  <c r="I68" i="14" s="1"/>
  <c r="G39" i="14"/>
  <c r="G49" i="14" s="1"/>
  <c r="G59" i="14" s="1"/>
  <c r="G69" i="14" s="1"/>
  <c r="H39" i="14"/>
  <c r="H49" i="14" s="1"/>
  <c r="H59" i="14" s="1"/>
  <c r="H69" i="14" s="1"/>
  <c r="I39" i="14"/>
  <c r="I49" i="14" s="1"/>
  <c r="I59" i="14" s="1"/>
  <c r="I69" i="14" s="1"/>
  <c r="G40" i="14"/>
  <c r="G50" i="14" s="1"/>
  <c r="G60" i="14" s="1"/>
  <c r="G70" i="14" s="1"/>
  <c r="H40" i="14"/>
  <c r="H50" i="14" s="1"/>
  <c r="H60" i="14" s="1"/>
  <c r="H70" i="14" s="1"/>
  <c r="I40" i="14"/>
  <c r="I50" i="14" s="1"/>
  <c r="I60" i="14" s="1"/>
  <c r="I70" i="14" s="1"/>
  <c r="I34" i="14"/>
  <c r="I44" i="14" s="1"/>
  <c r="I54" i="14" s="1"/>
  <c r="I64" i="14" s="1"/>
  <c r="H34" i="14"/>
  <c r="H44" i="14" s="1"/>
  <c r="H54" i="14" s="1"/>
  <c r="H64" i="14" s="1"/>
  <c r="G34" i="14"/>
  <c r="G44" i="14" s="1"/>
  <c r="G54" i="14" s="1"/>
  <c r="G64" i="14" s="1"/>
  <c r="W11" i="14"/>
  <c r="X11" i="14"/>
  <c r="Y11" i="14"/>
  <c r="W12" i="14"/>
  <c r="X12" i="14"/>
  <c r="Y12" i="14"/>
  <c r="W13" i="14"/>
  <c r="X13" i="14"/>
  <c r="Y13" i="14"/>
  <c r="W14" i="14"/>
  <c r="X14" i="14"/>
  <c r="Y14" i="14"/>
  <c r="X10" i="14"/>
  <c r="Y10" i="14"/>
  <c r="W10" i="14"/>
  <c r="V125" i="14"/>
  <c r="U125" i="14"/>
  <c r="T125" i="14"/>
  <c r="S125" i="14"/>
  <c r="R125" i="14"/>
  <c r="V124" i="14"/>
  <c r="U124" i="14"/>
  <c r="T124" i="14"/>
  <c r="S124" i="14"/>
  <c r="R124" i="14"/>
  <c r="V123" i="14"/>
  <c r="U123" i="14"/>
  <c r="T123" i="14"/>
  <c r="S123" i="14"/>
  <c r="R123" i="14"/>
  <c r="V122" i="14"/>
  <c r="U122" i="14"/>
  <c r="T122" i="14"/>
  <c r="S122" i="14"/>
  <c r="R122" i="14"/>
  <c r="V121" i="14"/>
  <c r="U121" i="14"/>
  <c r="T121" i="14"/>
  <c r="S121" i="14"/>
  <c r="R121" i="14"/>
  <c r="V109" i="14"/>
  <c r="U109" i="14"/>
  <c r="T109" i="14"/>
  <c r="S109" i="14"/>
  <c r="R109" i="14"/>
  <c r="V100" i="14"/>
  <c r="U100" i="14"/>
  <c r="T100" i="14"/>
  <c r="S100" i="14"/>
  <c r="R100" i="14"/>
  <c r="V91" i="14"/>
  <c r="U91" i="14"/>
  <c r="T91" i="14"/>
  <c r="S91" i="14"/>
  <c r="W90" i="14"/>
  <c r="W89" i="14"/>
  <c r="D89" i="14"/>
  <c r="W88" i="14"/>
  <c r="W87" i="14"/>
  <c r="W86" i="14"/>
  <c r="V82" i="14"/>
  <c r="U82" i="14"/>
  <c r="T82" i="14"/>
  <c r="S82" i="14"/>
  <c r="R82" i="14"/>
  <c r="V71" i="14"/>
  <c r="U71" i="14"/>
  <c r="T71" i="14"/>
  <c r="S71" i="14"/>
  <c r="F70" i="14"/>
  <c r="E70" i="14"/>
  <c r="C70" i="14"/>
  <c r="A70" i="14"/>
  <c r="F69" i="14"/>
  <c r="E69" i="14"/>
  <c r="C69" i="14"/>
  <c r="A69" i="14"/>
  <c r="F68" i="14"/>
  <c r="E68" i="14"/>
  <c r="D68" i="14"/>
  <c r="C68" i="14"/>
  <c r="A68" i="14"/>
  <c r="F67" i="14"/>
  <c r="E67" i="14"/>
  <c r="C67" i="14"/>
  <c r="A67" i="14"/>
  <c r="F66" i="14"/>
  <c r="A66" i="14"/>
  <c r="F65" i="14"/>
  <c r="E65" i="14"/>
  <c r="C65" i="14"/>
  <c r="A65" i="14"/>
  <c r="F64" i="14"/>
  <c r="E64" i="14"/>
  <c r="D64" i="14"/>
  <c r="C64" i="14"/>
  <c r="A64" i="14"/>
  <c r="V61" i="14"/>
  <c r="U61" i="14"/>
  <c r="T61" i="14"/>
  <c r="S61" i="14"/>
  <c r="F60" i="14"/>
  <c r="E60" i="14"/>
  <c r="C60" i="14"/>
  <c r="A60" i="14"/>
  <c r="F59" i="14"/>
  <c r="E59" i="14"/>
  <c r="C59" i="14"/>
  <c r="A59" i="14"/>
  <c r="F58" i="14"/>
  <c r="E58" i="14"/>
  <c r="D58" i="14"/>
  <c r="C58" i="14"/>
  <c r="A58" i="14"/>
  <c r="F57" i="14"/>
  <c r="E57" i="14"/>
  <c r="C57" i="14"/>
  <c r="A57" i="14"/>
  <c r="F56" i="14"/>
  <c r="A56" i="14"/>
  <c r="F55" i="14"/>
  <c r="E55" i="14"/>
  <c r="C55" i="14"/>
  <c r="A55" i="14"/>
  <c r="F54" i="14"/>
  <c r="E54" i="14"/>
  <c r="D54" i="14"/>
  <c r="C54" i="14"/>
  <c r="A54" i="14"/>
  <c r="V51" i="14"/>
  <c r="U51" i="14"/>
  <c r="T51" i="14"/>
  <c r="S51" i="14"/>
  <c r="F50" i="14"/>
  <c r="E50" i="14"/>
  <c r="C50" i="14"/>
  <c r="A50" i="14"/>
  <c r="F49" i="14"/>
  <c r="E49" i="14"/>
  <c r="C49" i="14"/>
  <c r="A49" i="14"/>
  <c r="F48" i="14"/>
  <c r="E48" i="14"/>
  <c r="D48" i="14"/>
  <c r="C48" i="14"/>
  <c r="A48" i="14"/>
  <c r="F47" i="14"/>
  <c r="E47" i="14"/>
  <c r="C47" i="14"/>
  <c r="A47" i="14"/>
  <c r="F46" i="14"/>
  <c r="A46" i="14"/>
  <c r="F45" i="14"/>
  <c r="E45" i="14"/>
  <c r="C45" i="14"/>
  <c r="A45" i="14"/>
  <c r="F44" i="14"/>
  <c r="E44" i="14"/>
  <c r="D44" i="14"/>
  <c r="C44" i="14"/>
  <c r="A44" i="14"/>
  <c r="V41" i="14"/>
  <c r="U41" i="14"/>
  <c r="T41" i="14"/>
  <c r="S41" i="14"/>
  <c r="F40" i="14"/>
  <c r="E40" i="14"/>
  <c r="C40" i="14"/>
  <c r="A40" i="14"/>
  <c r="F39" i="14"/>
  <c r="E39" i="14"/>
  <c r="C39" i="14"/>
  <c r="A39" i="14"/>
  <c r="F38" i="14"/>
  <c r="E38" i="14"/>
  <c r="D38" i="14"/>
  <c r="C38" i="14"/>
  <c r="A38" i="14"/>
  <c r="F37" i="14"/>
  <c r="E37" i="14"/>
  <c r="C37" i="14"/>
  <c r="A37" i="14"/>
  <c r="F36" i="14"/>
  <c r="A36" i="14"/>
  <c r="F35" i="14"/>
  <c r="E35" i="14"/>
  <c r="C35" i="14"/>
  <c r="A35" i="14"/>
  <c r="F34" i="14"/>
  <c r="E34" i="14"/>
  <c r="D34" i="14"/>
  <c r="C34" i="14"/>
  <c r="A34" i="14"/>
  <c r="V31" i="14"/>
  <c r="U31" i="14"/>
  <c r="T31" i="14"/>
  <c r="S31" i="14"/>
  <c r="W30" i="14"/>
  <c r="D50" i="14"/>
  <c r="W29" i="14"/>
  <c r="D39" i="14"/>
  <c r="D67" i="14"/>
  <c r="W25" i="14"/>
  <c r="V15" i="14"/>
  <c r="U15" i="14"/>
  <c r="T15" i="14"/>
  <c r="S15" i="14"/>
  <c r="V113" i="11"/>
  <c r="U113" i="11"/>
  <c r="T113" i="11"/>
  <c r="S113" i="11"/>
  <c r="R113" i="11"/>
  <c r="V104" i="11"/>
  <c r="U104" i="11"/>
  <c r="T104" i="11"/>
  <c r="S104" i="11"/>
  <c r="R104" i="11"/>
  <c r="W94" i="11"/>
  <c r="W93" i="11"/>
  <c r="W92" i="11"/>
  <c r="W91" i="11"/>
  <c r="W90" i="11"/>
  <c r="D93" i="11"/>
  <c r="V95" i="11"/>
  <c r="U95" i="11"/>
  <c r="T95" i="11"/>
  <c r="S95" i="11"/>
  <c r="S86" i="11"/>
  <c r="T86" i="11"/>
  <c r="U86" i="11"/>
  <c r="V86" i="11"/>
  <c r="R86" i="11"/>
  <c r="F74" i="11"/>
  <c r="E74" i="11"/>
  <c r="C74" i="11"/>
  <c r="A74" i="11"/>
  <c r="F73" i="11"/>
  <c r="E73" i="11"/>
  <c r="C73" i="11"/>
  <c r="A73" i="11"/>
  <c r="F72" i="11"/>
  <c r="E72" i="11"/>
  <c r="D72" i="11"/>
  <c r="C72" i="11"/>
  <c r="A72" i="11"/>
  <c r="F71" i="11"/>
  <c r="E71" i="11"/>
  <c r="C71" i="11"/>
  <c r="A71" i="11"/>
  <c r="F70" i="11"/>
  <c r="A70" i="11"/>
  <c r="F69" i="11"/>
  <c r="E69" i="11"/>
  <c r="C69" i="11"/>
  <c r="A69" i="11"/>
  <c r="F68" i="11"/>
  <c r="E68" i="11"/>
  <c r="D68" i="11"/>
  <c r="C68" i="11"/>
  <c r="A68" i="11"/>
  <c r="F64" i="11"/>
  <c r="E64" i="11"/>
  <c r="C64" i="11"/>
  <c r="A64" i="11"/>
  <c r="F63" i="11"/>
  <c r="E63" i="11"/>
  <c r="C63" i="11"/>
  <c r="A63" i="11"/>
  <c r="F62" i="11"/>
  <c r="E62" i="11"/>
  <c r="D62" i="11"/>
  <c r="C62" i="11"/>
  <c r="A62" i="11"/>
  <c r="F61" i="11"/>
  <c r="E61" i="11"/>
  <c r="C61" i="11"/>
  <c r="A61" i="11"/>
  <c r="F60" i="11"/>
  <c r="A60" i="11"/>
  <c r="F59" i="11"/>
  <c r="E59" i="11"/>
  <c r="C59" i="11"/>
  <c r="A59" i="11"/>
  <c r="F58" i="11"/>
  <c r="E58" i="11"/>
  <c r="D58" i="11"/>
  <c r="C58" i="11"/>
  <c r="A58" i="11"/>
  <c r="F54" i="11"/>
  <c r="E54" i="11"/>
  <c r="C54" i="11"/>
  <c r="A54" i="11"/>
  <c r="F53" i="11"/>
  <c r="E53" i="11"/>
  <c r="C53" i="11"/>
  <c r="A53" i="11"/>
  <c r="F52" i="11"/>
  <c r="E52" i="11"/>
  <c r="D52" i="11"/>
  <c r="C52" i="11"/>
  <c r="A52" i="11"/>
  <c r="F51" i="11"/>
  <c r="E51" i="11"/>
  <c r="C51" i="11"/>
  <c r="A51" i="11"/>
  <c r="F50" i="11"/>
  <c r="A50" i="11"/>
  <c r="F49" i="11"/>
  <c r="E49" i="11"/>
  <c r="C49" i="11"/>
  <c r="A49" i="11"/>
  <c r="F48" i="11"/>
  <c r="E48" i="11"/>
  <c r="D48" i="11"/>
  <c r="C48" i="11"/>
  <c r="A48" i="11"/>
  <c r="F44" i="11"/>
  <c r="E44" i="11"/>
  <c r="C44" i="11"/>
  <c r="A44" i="11"/>
  <c r="F43" i="11"/>
  <c r="E43" i="11"/>
  <c r="C43" i="11"/>
  <c r="A43" i="11"/>
  <c r="F42" i="11"/>
  <c r="E42" i="11"/>
  <c r="D42" i="11"/>
  <c r="C42" i="11"/>
  <c r="A42" i="11"/>
  <c r="F41" i="11"/>
  <c r="E41" i="11"/>
  <c r="C41" i="11"/>
  <c r="A41" i="11"/>
  <c r="F40" i="11"/>
  <c r="A40" i="11"/>
  <c r="F39" i="11"/>
  <c r="E39" i="11"/>
  <c r="C39" i="11"/>
  <c r="A39" i="11"/>
  <c r="F38" i="11"/>
  <c r="E38" i="11"/>
  <c r="D38" i="11"/>
  <c r="C38" i="11"/>
  <c r="A38" i="11"/>
  <c r="V75" i="11"/>
  <c r="U75" i="11"/>
  <c r="T75" i="11"/>
  <c r="S75" i="11"/>
  <c r="V65" i="11"/>
  <c r="U65" i="11"/>
  <c r="T65" i="11"/>
  <c r="S65" i="11"/>
  <c r="V55" i="11"/>
  <c r="U55" i="11"/>
  <c r="T55" i="11"/>
  <c r="S55" i="11"/>
  <c r="V45" i="11"/>
  <c r="U45" i="11"/>
  <c r="T45" i="11"/>
  <c r="S45" i="11"/>
  <c r="S35" i="11"/>
  <c r="T35" i="11"/>
  <c r="U35" i="11"/>
  <c r="V35" i="11"/>
  <c r="J5" i="11" a="1"/>
  <c r="J5" i="11" s="1"/>
  <c r="D100" i="11" s="1"/>
  <c r="U121" i="11" l="1"/>
  <c r="V121" i="11"/>
  <c r="R121" i="11"/>
  <c r="S121" i="11"/>
  <c r="T121" i="11"/>
  <c r="W55" i="14"/>
  <c r="W65" i="14"/>
  <c r="W60" i="14"/>
  <c r="R126" i="14"/>
  <c r="S126" i="14"/>
  <c r="T126" i="14"/>
  <c r="U126" i="14"/>
  <c r="W40" i="14"/>
  <c r="W39" i="14"/>
  <c r="S73" i="14"/>
  <c r="W49" i="14"/>
  <c r="T73" i="14"/>
  <c r="U73" i="14"/>
  <c r="V73" i="14"/>
  <c r="L64" i="14"/>
  <c r="L65" i="14" s="1"/>
  <c r="L66" i="14" s="1"/>
  <c r="W91" i="14"/>
  <c r="D65" i="14"/>
  <c r="D55" i="14"/>
  <c r="D45" i="14"/>
  <c r="D40" i="14"/>
  <c r="D70" i="14"/>
  <c r="D60" i="14"/>
  <c r="W50" i="14"/>
  <c r="V126" i="14"/>
  <c r="D57" i="14"/>
  <c r="D47" i="14"/>
  <c r="D37" i="14"/>
  <c r="W45" i="14"/>
  <c r="D49" i="14"/>
  <c r="D69" i="14"/>
  <c r="D35" i="14"/>
  <c r="D59" i="14"/>
  <c r="W35" i="14"/>
  <c r="W59" i="14"/>
  <c r="W69" i="14"/>
  <c r="W70" i="14"/>
  <c r="W39" i="11"/>
  <c r="W69" i="11"/>
  <c r="W63" i="11"/>
  <c r="U77" i="11"/>
  <c r="W49" i="11"/>
  <c r="W53" i="11"/>
  <c r="W74" i="11"/>
  <c r="W54" i="11"/>
  <c r="W59" i="11"/>
  <c r="W64" i="11"/>
  <c r="V77" i="11"/>
  <c r="S77" i="11"/>
  <c r="T77" i="11"/>
  <c r="W43" i="11"/>
  <c r="W73" i="11"/>
  <c r="W44" i="11"/>
  <c r="T129" i="14" l="1"/>
  <c r="S129" i="14"/>
  <c r="U129" i="14"/>
  <c r="V129" i="14"/>
  <c r="K64" i="14"/>
  <c r="L67" i="14"/>
  <c r="W95" i="11"/>
  <c r="W15" i="14" l="1"/>
  <c r="Y15" i="14"/>
  <c r="K65" i="14"/>
  <c r="O64" i="14"/>
  <c r="Q64" i="14" s="1"/>
  <c r="X15" i="14"/>
  <c r="L68" i="14"/>
  <c r="O67" i="14"/>
  <c r="Q67" i="14" s="1"/>
  <c r="W67" i="14" s="1"/>
  <c r="O65" i="14" l="1"/>
  <c r="Q65" i="14" s="1"/>
  <c r="K66" i="14"/>
  <c r="K67" i="14" s="1"/>
  <c r="K68" i="14" s="1"/>
  <c r="K69" i="14" s="1"/>
  <c r="K70" i="14" s="1"/>
  <c r="AA64" i="14"/>
  <c r="Z64" i="14"/>
  <c r="W64" i="14"/>
  <c r="R64" i="14"/>
  <c r="Y64" i="14"/>
  <c r="X64" i="14"/>
  <c r="R67" i="14"/>
  <c r="Y67" i="14"/>
  <c r="AA67" i="14"/>
  <c r="X67" i="14"/>
  <c r="Z67" i="14"/>
  <c r="O108" i="14"/>
  <c r="O99" i="14"/>
  <c r="P90" i="14"/>
  <c r="O81" i="14"/>
  <c r="P81" i="14" s="1"/>
  <c r="J64" i="14"/>
  <c r="J65" i="14" s="1"/>
  <c r="J66" i="14" s="1"/>
  <c r="J67" i="14" s="1"/>
  <c r="J68" i="14" s="1"/>
  <c r="J69" i="14" s="1"/>
  <c r="O68" i="14"/>
  <c r="Q68" i="14" s="1"/>
  <c r="L69" i="14"/>
  <c r="L70" i="14" s="1"/>
  <c r="P99" i="14" l="1"/>
  <c r="Q99" i="14" s="1"/>
  <c r="AB64" i="14"/>
  <c r="AA65" i="14"/>
  <c r="Y65" i="14"/>
  <c r="R65" i="14"/>
  <c r="Z65" i="14"/>
  <c r="X65" i="14"/>
  <c r="AA81" i="14"/>
  <c r="Z81" i="14"/>
  <c r="Y81" i="14"/>
  <c r="X81" i="14"/>
  <c r="W81" i="14"/>
  <c r="R90" i="14"/>
  <c r="AA90" i="14"/>
  <c r="Z90" i="14"/>
  <c r="Y90" i="14"/>
  <c r="X90" i="14"/>
  <c r="AB67" i="14"/>
  <c r="R68" i="14"/>
  <c r="X68" i="14"/>
  <c r="AA68" i="14"/>
  <c r="Z68" i="14"/>
  <c r="W68" i="14"/>
  <c r="Y68" i="14"/>
  <c r="J70" i="14"/>
  <c r="O70" i="14" s="1"/>
  <c r="Q70" i="14" s="1"/>
  <c r="O69" i="14"/>
  <c r="Q69" i="14" s="1"/>
  <c r="X99" i="14" l="1"/>
  <c r="Z99" i="14"/>
  <c r="Y99" i="14"/>
  <c r="AA99" i="14"/>
  <c r="W99" i="14"/>
  <c r="AB65" i="14"/>
  <c r="AB81" i="14"/>
  <c r="AB90" i="14"/>
  <c r="P8" i="1" s="1"/>
  <c r="AB68" i="14"/>
  <c r="R69" i="14"/>
  <c r="AA69" i="14"/>
  <c r="Y69" i="14"/>
  <c r="X69" i="14"/>
  <c r="Z69" i="14"/>
  <c r="R70" i="14"/>
  <c r="AA70" i="14"/>
  <c r="Z70" i="14"/>
  <c r="X70" i="14"/>
  <c r="Y70" i="14"/>
  <c r="AB99" i="14" l="1"/>
  <c r="P9" i="1" s="1"/>
  <c r="AB69" i="14"/>
  <c r="AB70" i="14"/>
  <c r="G14" i="11" l="1"/>
  <c r="G13" i="11"/>
  <c r="G12" i="11"/>
  <c r="G11" i="11" l="1"/>
  <c r="W34" i="11" l="1"/>
  <c r="W33" i="11"/>
  <c r="W29" i="11"/>
  <c r="V24" i="11"/>
  <c r="V124" i="11" s="1"/>
  <c r="U24" i="11"/>
  <c r="U124" i="11" s="1"/>
  <c r="T24" i="11"/>
  <c r="T124" i="11" s="1"/>
  <c r="S24" i="11"/>
  <c r="S124" i="11" s="1"/>
  <c r="G10" i="11"/>
  <c r="C19" i="11" l="1"/>
  <c r="D71" i="11"/>
  <c r="D41" i="11"/>
  <c r="D61" i="11"/>
  <c r="D51" i="11"/>
  <c r="D43" i="11"/>
  <c r="D63" i="11"/>
  <c r="D53" i="11"/>
  <c r="D73" i="11"/>
  <c r="D49" i="11"/>
  <c r="D69" i="11"/>
  <c r="D59" i="11"/>
  <c r="D39" i="11"/>
  <c r="D54" i="11"/>
  <c r="D74" i="11"/>
  <c r="D44" i="11"/>
  <c r="D64" i="11"/>
  <c r="F5" i="11" a="1"/>
  <c r="F5" i="11" s="1"/>
  <c r="L5" i="11" a="1"/>
  <c r="L5" i="11" s="1"/>
  <c r="D110" i="11" s="1"/>
  <c r="D111" i="11" s="1"/>
  <c r="C5" i="11" a="1"/>
  <c r="C5" i="11" s="1"/>
  <c r="A4" i="1"/>
  <c r="E5" i="11" a="1"/>
  <c r="E5" i="11" s="1"/>
  <c r="H5" i="11" a="1"/>
  <c r="H5" i="11" s="1"/>
  <c r="D5" i="11" a="1"/>
  <c r="D5" i="11" s="1"/>
  <c r="I5" i="11" a="1"/>
  <c r="I5" i="11" s="1"/>
  <c r="G5" i="11" a="1"/>
  <c r="G5" i="11" s="1"/>
  <c r="D2" i="10" s="1"/>
  <c r="E4" i="10" s="1"/>
  <c r="F2" i="10" l="1"/>
  <c r="C10" i="14"/>
  <c r="F5" i="10"/>
  <c r="F21" i="11"/>
  <c r="F22" i="11"/>
  <c r="F23" i="11"/>
  <c r="F19" i="11"/>
  <c r="F20" i="11"/>
  <c r="X21" i="11"/>
  <c r="Y22" i="11"/>
  <c r="W20" i="11"/>
  <c r="X19" i="11"/>
  <c r="X23" i="11"/>
  <c r="Y19" i="11"/>
  <c r="X22" i="11"/>
  <c r="X20" i="11"/>
  <c r="W19" i="11"/>
  <c r="W22" i="11"/>
  <c r="Y23" i="11"/>
  <c r="W21" i="11"/>
  <c r="W23" i="11"/>
  <c r="Y20" i="11"/>
  <c r="Y21" i="11"/>
  <c r="M5" i="10" l="1"/>
  <c r="P5" i="10" s="1"/>
  <c r="I5" i="10"/>
  <c r="K5" i="10"/>
  <c r="F4" i="10"/>
  <c r="E13" i="14"/>
  <c r="G13" i="14"/>
  <c r="H13" i="14" s="1"/>
  <c r="H14" i="14" s="1"/>
  <c r="H15" i="14" s="1"/>
  <c r="E10" i="14"/>
  <c r="F10" i="14" s="1"/>
  <c r="E11" i="14"/>
  <c r="E12" i="14"/>
  <c r="X24" i="11"/>
  <c r="Y24" i="11"/>
  <c r="W24" i="11"/>
  <c r="I4" i="10" l="1"/>
  <c r="E20" i="11" s="1"/>
  <c r="M4" i="10"/>
  <c r="E22" i="11" s="1"/>
  <c r="Q22" i="11" s="1"/>
  <c r="L58" i="11" s="1"/>
  <c r="L59" i="11" s="1"/>
  <c r="L60" i="11" s="1"/>
  <c r="L61" i="11" s="1"/>
  <c r="L62" i="11" s="1"/>
  <c r="L63" i="11" s="1"/>
  <c r="L64" i="11" s="1"/>
  <c r="K4" i="10"/>
  <c r="E21" i="11" s="1"/>
  <c r="E19" i="11"/>
  <c r="Q19" i="11" s="1"/>
  <c r="L28" i="11" s="1"/>
  <c r="L29" i="11" s="1"/>
  <c r="L30" i="11" s="1"/>
  <c r="L31" i="11" s="1"/>
  <c r="L32" i="11" s="1"/>
  <c r="Q13" i="14"/>
  <c r="L54" i="14" s="1"/>
  <c r="L55" i="14" s="1"/>
  <c r="L56" i="14" s="1"/>
  <c r="G12" i="14"/>
  <c r="F12" i="14" s="1"/>
  <c r="Q12" i="14" s="1"/>
  <c r="F11" i="14"/>
  <c r="G11" i="14" s="1"/>
  <c r="Q11" i="14" s="1"/>
  <c r="E15" i="14"/>
  <c r="K13" i="14" s="1"/>
  <c r="O13" i="14" s="1"/>
  <c r="O98" i="14" s="1"/>
  <c r="P98" i="14" s="1"/>
  <c r="Q98" i="14" s="1"/>
  <c r="I10" i="14"/>
  <c r="I14" i="14" s="1"/>
  <c r="I15" i="14" s="1"/>
  <c r="T5" i="10"/>
  <c r="R5" i="10"/>
  <c r="V5" i="10" s="1"/>
  <c r="T4" i="10" l="1"/>
  <c r="U4" i="10" s="1"/>
  <c r="Q21" i="11"/>
  <c r="L48" i="11" s="1"/>
  <c r="L49" i="11" s="1"/>
  <c r="L50" i="11" s="1"/>
  <c r="G21" i="11"/>
  <c r="K21" i="11"/>
  <c r="P21" i="11" s="1"/>
  <c r="K48" i="11" s="1"/>
  <c r="K22" i="11"/>
  <c r="P22" i="11" s="1"/>
  <c r="K58" i="11" s="1"/>
  <c r="O58" i="11" s="1"/>
  <c r="Q58" i="11" s="1"/>
  <c r="R58" i="11" s="1"/>
  <c r="G22" i="11"/>
  <c r="O22" i="11" s="1"/>
  <c r="J58" i="11" s="1"/>
  <c r="J59" i="11" s="1"/>
  <c r="J60" i="11" s="1"/>
  <c r="J61" i="11" s="1"/>
  <c r="J62" i="11" s="1"/>
  <c r="J63" i="11" s="1"/>
  <c r="J64" i="11" s="1"/>
  <c r="O64" i="11" s="1"/>
  <c r="Q64" i="11" s="1"/>
  <c r="Q20" i="11"/>
  <c r="L38" i="11" s="1"/>
  <c r="L39" i="11" s="1"/>
  <c r="L40" i="11" s="1"/>
  <c r="K20" i="11"/>
  <c r="P20" i="11" s="1"/>
  <c r="K38" i="11" s="1"/>
  <c r="G20" i="11"/>
  <c r="O4" i="10"/>
  <c r="E23" i="11" s="1"/>
  <c r="Q23" i="11" s="1"/>
  <c r="L68" i="11" s="1"/>
  <c r="L69" i="11" s="1"/>
  <c r="L70" i="11" s="1"/>
  <c r="L71" i="11" s="1"/>
  <c r="L72" i="11" s="1"/>
  <c r="L73" i="11" s="1"/>
  <c r="L74" i="11" s="1"/>
  <c r="K19" i="11"/>
  <c r="P19" i="11" s="1"/>
  <c r="K28" i="11" s="1"/>
  <c r="K29" i="11" s="1"/>
  <c r="K30" i="11" s="1"/>
  <c r="K31" i="11" s="1"/>
  <c r="K32" i="11" s="1"/>
  <c r="K33" i="11" s="1"/>
  <c r="K34" i="11" s="1"/>
  <c r="G19" i="11"/>
  <c r="O19" i="11" s="1"/>
  <c r="O62" i="11"/>
  <c r="Q62" i="11" s="1"/>
  <c r="Z62" i="11" s="1"/>
  <c r="P13" i="14"/>
  <c r="K54" i="14" s="1"/>
  <c r="K55" i="14" s="1"/>
  <c r="K56" i="14" s="1"/>
  <c r="K57" i="14" s="1"/>
  <c r="K58" i="14" s="1"/>
  <c r="K59" i="14" s="1"/>
  <c r="K60" i="14" s="1"/>
  <c r="L34" i="14"/>
  <c r="L35" i="14" s="1"/>
  <c r="L36" i="14" s="1"/>
  <c r="P11" i="14"/>
  <c r="K34" i="14" s="1"/>
  <c r="K35" i="14" s="1"/>
  <c r="G15" i="14"/>
  <c r="G16" i="14" s="1"/>
  <c r="K11" i="14"/>
  <c r="O11" i="14" s="1"/>
  <c r="H16" i="14"/>
  <c r="P89" i="14"/>
  <c r="Y89" i="14" s="1"/>
  <c r="K10" i="14"/>
  <c r="O107" i="14"/>
  <c r="K12" i="14"/>
  <c r="O12" i="14" s="1"/>
  <c r="O80" i="14"/>
  <c r="I16" i="14"/>
  <c r="J54" i="14"/>
  <c r="J55" i="14" s="1"/>
  <c r="J56" i="14" s="1"/>
  <c r="J57" i="14" s="1"/>
  <c r="J58" i="14" s="1"/>
  <c r="J59" i="14" s="1"/>
  <c r="O59" i="14" s="1"/>
  <c r="Q59" i="14" s="1"/>
  <c r="F15" i="14"/>
  <c r="Q10" i="14"/>
  <c r="Q15" i="14" s="1"/>
  <c r="L57" i="14"/>
  <c r="L58" i="14" s="1"/>
  <c r="O54" i="14"/>
  <c r="Q54" i="14" s="1"/>
  <c r="W54" i="14" s="1"/>
  <c r="O55" i="14"/>
  <c r="Q55" i="14" s="1"/>
  <c r="P12" i="14"/>
  <c r="K44" i="14" s="1"/>
  <c r="L44" i="14"/>
  <c r="L45" i="14" s="1"/>
  <c r="L46" i="14" s="1"/>
  <c r="X98" i="14"/>
  <c r="AA98" i="14"/>
  <c r="W98" i="14"/>
  <c r="Y98" i="14"/>
  <c r="Z98" i="14"/>
  <c r="L33" i="11"/>
  <c r="L34" i="11" s="1"/>
  <c r="O32" i="11"/>
  <c r="Q32" i="11" s="1"/>
  <c r="AA32" i="11" s="1"/>
  <c r="O61" i="11" l="1"/>
  <c r="Q61" i="11" s="1"/>
  <c r="W61" i="11" s="1"/>
  <c r="P93" i="11"/>
  <c r="AA93" i="11" s="1"/>
  <c r="O102" i="11"/>
  <c r="P102" i="11" s="1"/>
  <c r="Q102" i="11" s="1"/>
  <c r="X102" i="11" s="1"/>
  <c r="H22" i="11"/>
  <c r="I22" i="11" s="1"/>
  <c r="J22" i="11" s="1"/>
  <c r="Z58" i="11"/>
  <c r="AA58" i="11"/>
  <c r="X58" i="11"/>
  <c r="O111" i="11"/>
  <c r="P111" i="11" s="1"/>
  <c r="X111" i="11" s="1"/>
  <c r="K59" i="11"/>
  <c r="K60" i="11" s="1"/>
  <c r="K61" i="11" s="1"/>
  <c r="K62" i="11" s="1"/>
  <c r="K63" i="11" s="1"/>
  <c r="K64" i="11" s="1"/>
  <c r="AA22" i="11"/>
  <c r="Z22" i="11"/>
  <c r="R22" i="11"/>
  <c r="O72" i="11"/>
  <c r="Q72" i="11" s="1"/>
  <c r="W72" i="11" s="1"/>
  <c r="K23" i="11"/>
  <c r="P23" i="11" s="1"/>
  <c r="K68" i="11" s="1"/>
  <c r="O68" i="11" s="1"/>
  <c r="Q68" i="11" s="1"/>
  <c r="AA68" i="11" s="1"/>
  <c r="W58" i="11"/>
  <c r="O84" i="11"/>
  <c r="P84" i="11" s="1"/>
  <c r="AA84" i="11" s="1"/>
  <c r="L41" i="11"/>
  <c r="K49" i="11"/>
  <c r="O48" i="11"/>
  <c r="Q48" i="11" s="1"/>
  <c r="O21" i="11"/>
  <c r="H21" i="11"/>
  <c r="I21" i="11" s="1"/>
  <c r="J21" i="11" s="1"/>
  <c r="L51" i="11"/>
  <c r="Q24" i="11"/>
  <c r="O20" i="11"/>
  <c r="H20" i="11"/>
  <c r="I20" i="11" s="1"/>
  <c r="J20" i="11" s="1"/>
  <c r="Y58" i="11"/>
  <c r="E24" i="11"/>
  <c r="O38" i="11"/>
  <c r="Q38" i="11" s="1"/>
  <c r="K39" i="11"/>
  <c r="R4" i="10"/>
  <c r="O29" i="11"/>
  <c r="Q29" i="11" s="1"/>
  <c r="Y29" i="11" s="1"/>
  <c r="H19" i="11"/>
  <c r="I19" i="11" s="1"/>
  <c r="J19" i="11" s="1"/>
  <c r="O28" i="11"/>
  <c r="Q28" i="11" s="1"/>
  <c r="Y28" i="11" s="1"/>
  <c r="R19" i="11"/>
  <c r="P90" i="11"/>
  <c r="X90" i="11" s="1"/>
  <c r="Z19" i="11"/>
  <c r="J28" i="11"/>
  <c r="J29" i="11" s="1"/>
  <c r="J30" i="11" s="1"/>
  <c r="J31" i="11" s="1"/>
  <c r="J32" i="11" s="1"/>
  <c r="J33" i="11" s="1"/>
  <c r="O33" i="11" s="1"/>
  <c r="Q33" i="11" s="1"/>
  <c r="R33" i="11" s="1"/>
  <c r="AA19" i="11"/>
  <c r="O81" i="11"/>
  <c r="P81" i="11" s="1"/>
  <c r="AA81" i="11" s="1"/>
  <c r="O108" i="11"/>
  <c r="P108" i="11" s="1"/>
  <c r="O99" i="11"/>
  <c r="P99" i="11" s="1"/>
  <c r="Q99" i="11" s="1"/>
  <c r="G23" i="11"/>
  <c r="O23" i="11" s="1"/>
  <c r="P94" i="11" s="1"/>
  <c r="R94" i="11" s="1"/>
  <c r="R62" i="11"/>
  <c r="Y62" i="11"/>
  <c r="W62" i="11"/>
  <c r="X62" i="11"/>
  <c r="AA62" i="11"/>
  <c r="O10" i="14"/>
  <c r="O77" i="14" s="1"/>
  <c r="P77" i="14" s="1"/>
  <c r="Z77" i="14" s="1"/>
  <c r="O63" i="11"/>
  <c r="Q63" i="11" s="1"/>
  <c r="X63" i="11" s="1"/>
  <c r="F16" i="14"/>
  <c r="R10" i="14" s="1"/>
  <c r="K107" i="14"/>
  <c r="D106" i="14" s="1"/>
  <c r="L37" i="14"/>
  <c r="L38" i="14" s="1"/>
  <c r="O34" i="14"/>
  <c r="Q34" i="14" s="1"/>
  <c r="W34" i="14" s="1"/>
  <c r="P80" i="14"/>
  <c r="Z80" i="14" s="1"/>
  <c r="R89" i="14"/>
  <c r="K15" i="14"/>
  <c r="P10" i="14"/>
  <c r="P15" i="14" s="1"/>
  <c r="R14" i="14"/>
  <c r="Z14" i="14" s="1"/>
  <c r="Z89" i="14"/>
  <c r="AA89" i="14"/>
  <c r="L24" i="14"/>
  <c r="L25" i="14" s="1"/>
  <c r="L26" i="14" s="1"/>
  <c r="X89" i="14"/>
  <c r="J60" i="14"/>
  <c r="O60" i="14" s="1"/>
  <c r="Q60" i="14" s="1"/>
  <c r="Y60" i="14" s="1"/>
  <c r="O57" i="14"/>
  <c r="Q57" i="14" s="1"/>
  <c r="Y54" i="14"/>
  <c r="Z54" i="14"/>
  <c r="AA54" i="14"/>
  <c r="X54" i="14"/>
  <c r="R54" i="14"/>
  <c r="X32" i="11"/>
  <c r="Y32" i="11"/>
  <c r="W32" i="11"/>
  <c r="R32" i="11"/>
  <c r="Z32" i="11"/>
  <c r="O79" i="14"/>
  <c r="P79" i="14" s="1"/>
  <c r="O106" i="14"/>
  <c r="J44" i="14"/>
  <c r="J45" i="14" s="1"/>
  <c r="J46" i="14" s="1"/>
  <c r="J47" i="14" s="1"/>
  <c r="J48" i="14" s="1"/>
  <c r="J49" i="14" s="1"/>
  <c r="P88" i="14"/>
  <c r="O97" i="14"/>
  <c r="P97" i="14" s="1"/>
  <c r="Q97" i="14" s="1"/>
  <c r="O96" i="14"/>
  <c r="P96" i="14" s="1"/>
  <c r="Q96" i="14" s="1"/>
  <c r="O78" i="14"/>
  <c r="P78" i="14" s="1"/>
  <c r="J34" i="14"/>
  <c r="J35" i="14" s="1"/>
  <c r="J36" i="14" s="1"/>
  <c r="J37" i="14" s="1"/>
  <c r="J38" i="14" s="1"/>
  <c r="J39" i="14" s="1"/>
  <c r="O105" i="14"/>
  <c r="P87" i="14"/>
  <c r="Z55" i="14"/>
  <c r="Y55" i="14"/>
  <c r="AA55" i="14"/>
  <c r="X55" i="14"/>
  <c r="R55" i="14"/>
  <c r="Y59" i="14"/>
  <c r="R59" i="14"/>
  <c r="AA59" i="14"/>
  <c r="X59" i="14"/>
  <c r="Z59" i="14"/>
  <c r="AB98" i="14"/>
  <c r="O9" i="1" s="1"/>
  <c r="L59" i="14"/>
  <c r="L60" i="14" s="1"/>
  <c r="O58" i="14"/>
  <c r="Q58" i="14" s="1"/>
  <c r="L47" i="14"/>
  <c r="K36" i="14"/>
  <c r="K37" i="14" s="1"/>
  <c r="K38" i="14" s="1"/>
  <c r="K39" i="14" s="1"/>
  <c r="K40" i="14" s="1"/>
  <c r="O35" i="14"/>
  <c r="Q35" i="14" s="1"/>
  <c r="O44" i="14"/>
  <c r="Q44" i="14" s="1"/>
  <c r="K45" i="14"/>
  <c r="R64" i="11"/>
  <c r="Y64" i="11"/>
  <c r="X64" i="11"/>
  <c r="AA64" i="11"/>
  <c r="Z64" i="11"/>
  <c r="Z61" i="11" l="1"/>
  <c r="AA61" i="11"/>
  <c r="X61" i="11"/>
  <c r="Y61" i="11"/>
  <c r="R61" i="11"/>
  <c r="O31" i="11"/>
  <c r="Q31" i="11" s="1"/>
  <c r="W31" i="11" s="1"/>
  <c r="R57" i="14"/>
  <c r="W57" i="14"/>
  <c r="Y72" i="11"/>
  <c r="Y111" i="11"/>
  <c r="X93" i="11"/>
  <c r="X84" i="11"/>
  <c r="Z93" i="11"/>
  <c r="AB22" i="11"/>
  <c r="F5" i="1" s="1"/>
  <c r="X119" i="11"/>
  <c r="R93" i="11"/>
  <c r="AA72" i="11"/>
  <c r="Z84" i="11"/>
  <c r="W84" i="11"/>
  <c r="Y68" i="11"/>
  <c r="Z111" i="11"/>
  <c r="Z102" i="11"/>
  <c r="Y102" i="11"/>
  <c r="AB58" i="11"/>
  <c r="Z29" i="11"/>
  <c r="W102" i="11"/>
  <c r="AA102" i="11"/>
  <c r="X68" i="11"/>
  <c r="X28" i="11"/>
  <c r="Y93" i="11"/>
  <c r="Y84" i="11"/>
  <c r="R72" i="11"/>
  <c r="Z72" i="11"/>
  <c r="O59" i="11"/>
  <c r="Q59" i="11" s="1"/>
  <c r="AA59" i="11" s="1"/>
  <c r="X72" i="11"/>
  <c r="W111" i="11"/>
  <c r="AA111" i="11"/>
  <c r="K69" i="11"/>
  <c r="K70" i="11" s="1"/>
  <c r="K71" i="11" s="1"/>
  <c r="K72" i="11" s="1"/>
  <c r="K73" i="11" s="1"/>
  <c r="K74" i="11" s="1"/>
  <c r="W68" i="11"/>
  <c r="K24" i="11"/>
  <c r="R90" i="11"/>
  <c r="P24" i="11"/>
  <c r="Y90" i="11"/>
  <c r="AA29" i="11"/>
  <c r="R68" i="11"/>
  <c r="Z68" i="11"/>
  <c r="O49" i="11"/>
  <c r="Q49" i="11" s="1"/>
  <c r="K50" i="11"/>
  <c r="K51" i="11" s="1"/>
  <c r="K52" i="11" s="1"/>
  <c r="K53" i="11" s="1"/>
  <c r="K54" i="11" s="1"/>
  <c r="V4" i="10"/>
  <c r="W4" i="10" s="1"/>
  <c r="S4" i="10"/>
  <c r="O39" i="11"/>
  <c r="Q39" i="11" s="1"/>
  <c r="K40" i="11"/>
  <c r="K41" i="11" s="1"/>
  <c r="K42" i="11" s="1"/>
  <c r="K43" i="11" s="1"/>
  <c r="K44" i="11" s="1"/>
  <c r="L52" i="11"/>
  <c r="W38" i="11"/>
  <c r="AA38" i="11"/>
  <c r="R38" i="11"/>
  <c r="X38" i="11"/>
  <c r="Y38" i="11"/>
  <c r="Z38" i="11"/>
  <c r="P92" i="11"/>
  <c r="J48" i="11"/>
  <c r="J49" i="11" s="1"/>
  <c r="J50" i="11" s="1"/>
  <c r="J51" i="11" s="1"/>
  <c r="J52" i="11" s="1"/>
  <c r="J53" i="11" s="1"/>
  <c r="AA21" i="11"/>
  <c r="O101" i="11"/>
  <c r="P101" i="11" s="1"/>
  <c r="Q101" i="11" s="1"/>
  <c r="O83" i="11"/>
  <c r="P83" i="11" s="1"/>
  <c r="Z21" i="11"/>
  <c r="O110" i="11"/>
  <c r="P110" i="11" s="1"/>
  <c r="R21" i="11"/>
  <c r="X48" i="11"/>
  <c r="W48" i="11"/>
  <c r="Z48" i="11"/>
  <c r="R48" i="11"/>
  <c r="Y48" i="11"/>
  <c r="AA48" i="11"/>
  <c r="AA20" i="11"/>
  <c r="Z20" i="11"/>
  <c r="O100" i="11"/>
  <c r="P100" i="11" s="1"/>
  <c r="Q100" i="11" s="1"/>
  <c r="J38" i="11"/>
  <c r="J39" i="11" s="1"/>
  <c r="J40" i="11" s="1"/>
  <c r="J41" i="11" s="1"/>
  <c r="J42" i="11" s="1"/>
  <c r="J43" i="11" s="1"/>
  <c r="O82" i="11"/>
  <c r="P82" i="11" s="1"/>
  <c r="O109" i="11"/>
  <c r="P109" i="11" s="1"/>
  <c r="R20" i="11"/>
  <c r="P91" i="11"/>
  <c r="L42" i="11"/>
  <c r="Z90" i="11"/>
  <c r="R29" i="11"/>
  <c r="X29" i="11"/>
  <c r="W28" i="11"/>
  <c r="Y94" i="11"/>
  <c r="R28" i="11"/>
  <c r="AA90" i="11"/>
  <c r="Z28" i="11"/>
  <c r="AA28" i="11"/>
  <c r="G24" i="11"/>
  <c r="Y81" i="11"/>
  <c r="X81" i="11"/>
  <c r="W81" i="11"/>
  <c r="Z81" i="11"/>
  <c r="AB19" i="11"/>
  <c r="C5" i="1" s="1"/>
  <c r="O85" i="11"/>
  <c r="P85" i="11" s="1"/>
  <c r="W85" i="11" s="1"/>
  <c r="AA94" i="11"/>
  <c r="R23" i="11"/>
  <c r="H23" i="11"/>
  <c r="I23" i="11" s="1"/>
  <c r="J23" i="11" s="1"/>
  <c r="Z94" i="11"/>
  <c r="J68" i="11"/>
  <c r="J69" i="11" s="1"/>
  <c r="J70" i="11" s="1"/>
  <c r="J71" i="11" s="1"/>
  <c r="Z23" i="11"/>
  <c r="O103" i="11"/>
  <c r="P103" i="11" s="1"/>
  <c r="Q103" i="11" s="1"/>
  <c r="X103" i="11" s="1"/>
  <c r="O112" i="11"/>
  <c r="P112" i="11" s="1"/>
  <c r="Z112" i="11" s="1"/>
  <c r="O24" i="11"/>
  <c r="AA23" i="11"/>
  <c r="X94" i="11"/>
  <c r="AB62" i="11"/>
  <c r="Y77" i="14"/>
  <c r="P86" i="14"/>
  <c r="Z86" i="14" s="1"/>
  <c r="AA77" i="14"/>
  <c r="O104" i="14"/>
  <c r="O109" i="14" s="1"/>
  <c r="J24" i="14"/>
  <c r="J25" i="14" s="1"/>
  <c r="J26" i="14" s="1"/>
  <c r="J27" i="14" s="1"/>
  <c r="J28" i="14" s="1"/>
  <c r="J29" i="14" s="1"/>
  <c r="J30" i="14" s="1"/>
  <c r="O30" i="14" s="1"/>
  <c r="Q30" i="14" s="1"/>
  <c r="AA30" i="14" s="1"/>
  <c r="W77" i="14"/>
  <c r="O15" i="14"/>
  <c r="X77" i="14"/>
  <c r="O95" i="14"/>
  <c r="P95" i="14" s="1"/>
  <c r="P100" i="14" s="1"/>
  <c r="Y63" i="11"/>
  <c r="R63" i="11"/>
  <c r="Z63" i="11"/>
  <c r="AA63" i="11"/>
  <c r="J34" i="11"/>
  <c r="O34" i="11" s="1"/>
  <c r="Q34" i="11" s="1"/>
  <c r="Z34" i="11" s="1"/>
  <c r="X33" i="11"/>
  <c r="Y33" i="11"/>
  <c r="Z33" i="11"/>
  <c r="AA33" i="11"/>
  <c r="D107" i="14"/>
  <c r="P108" i="14" s="1"/>
  <c r="O37" i="14"/>
  <c r="Q37" i="14" s="1"/>
  <c r="Z34" i="14"/>
  <c r="X34" i="14"/>
  <c r="AA34" i="14"/>
  <c r="R34" i="14"/>
  <c r="Y34" i="14"/>
  <c r="Y80" i="14"/>
  <c r="AA80" i="14"/>
  <c r="X80" i="14"/>
  <c r="W80" i="14"/>
  <c r="L27" i="14"/>
  <c r="R13" i="14"/>
  <c r="AA13" i="14" s="1"/>
  <c r="AA14" i="14"/>
  <c r="AB14" i="14" s="1"/>
  <c r="R12" i="14"/>
  <c r="AA12" i="14" s="1"/>
  <c r="Z60" i="14"/>
  <c r="K24" i="14"/>
  <c r="K25" i="14" s="1"/>
  <c r="Z10" i="14"/>
  <c r="R11" i="14"/>
  <c r="Z11" i="14" s="1"/>
  <c r="AB89" i="14"/>
  <c r="O8" i="1" s="1"/>
  <c r="X60" i="14"/>
  <c r="R60" i="14"/>
  <c r="AA60" i="14"/>
  <c r="Y57" i="14"/>
  <c r="Z57" i="14"/>
  <c r="X57" i="14"/>
  <c r="AA57" i="14"/>
  <c r="AB54" i="14"/>
  <c r="AB32" i="11"/>
  <c r="P82" i="14"/>
  <c r="K46" i="14"/>
  <c r="K47" i="14" s="1"/>
  <c r="K48" i="14" s="1"/>
  <c r="K49" i="14" s="1"/>
  <c r="K50" i="14" s="1"/>
  <c r="O45" i="14"/>
  <c r="Q45" i="14" s="1"/>
  <c r="R87" i="14"/>
  <c r="Z87" i="14"/>
  <c r="AA87" i="14"/>
  <c r="Y87" i="14"/>
  <c r="X87" i="14"/>
  <c r="X88" i="14"/>
  <c r="R88" i="14"/>
  <c r="Z88" i="14"/>
  <c r="AA88" i="14"/>
  <c r="Y88" i="14"/>
  <c r="W44" i="14"/>
  <c r="Z44" i="14"/>
  <c r="R44" i="14"/>
  <c r="AA44" i="14"/>
  <c r="X44" i="14"/>
  <c r="Y44" i="14"/>
  <c r="J50" i="14"/>
  <c r="O50" i="14" s="1"/>
  <c r="Q50" i="14" s="1"/>
  <c r="O49" i="14"/>
  <c r="Q49" i="14" s="1"/>
  <c r="O38" i="14"/>
  <c r="Q38" i="14" s="1"/>
  <c r="L39" i="14"/>
  <c r="L40" i="14" s="1"/>
  <c r="O39" i="14"/>
  <c r="Q39" i="14" s="1"/>
  <c r="J40" i="14"/>
  <c r="O40" i="14" s="1"/>
  <c r="Q40" i="14" s="1"/>
  <c r="Z79" i="14"/>
  <c r="Y79" i="14"/>
  <c r="X79" i="14"/>
  <c r="W79" i="14"/>
  <c r="AA79" i="14"/>
  <c r="Y78" i="14"/>
  <c r="X78" i="14"/>
  <c r="W78" i="14"/>
  <c r="AA78" i="14"/>
  <c r="Z78" i="14"/>
  <c r="AB59" i="14"/>
  <c r="L48" i="14"/>
  <c r="O47" i="14"/>
  <c r="Q47" i="14" s="1"/>
  <c r="W47" i="14" s="1"/>
  <c r="AB55" i="14"/>
  <c r="Z96" i="14"/>
  <c r="Y96" i="14"/>
  <c r="X96" i="14"/>
  <c r="W96" i="14"/>
  <c r="AA96" i="14"/>
  <c r="AA35" i="14"/>
  <c r="R35" i="14"/>
  <c r="Y35" i="14"/>
  <c r="X35" i="14"/>
  <c r="Z35" i="14"/>
  <c r="O24" i="14"/>
  <c r="Q24" i="14" s="1"/>
  <c r="Z97" i="14"/>
  <c r="W97" i="14"/>
  <c r="AA97" i="14"/>
  <c r="Y97" i="14"/>
  <c r="X97" i="14"/>
  <c r="X58" i="14"/>
  <c r="R58" i="14"/>
  <c r="W58" i="14"/>
  <c r="Y58" i="14"/>
  <c r="AA58" i="14"/>
  <c r="Z58" i="14"/>
  <c r="AB64" i="11"/>
  <c r="AA108" i="11"/>
  <c r="X108" i="11"/>
  <c r="Y108" i="11"/>
  <c r="W108" i="11"/>
  <c r="Z108" i="11"/>
  <c r="AB61" i="11" l="1"/>
  <c r="Z31" i="11"/>
  <c r="Y31" i="11"/>
  <c r="X31" i="11"/>
  <c r="O27" i="14"/>
  <c r="Q27" i="14" s="1"/>
  <c r="W27" i="14" s="1"/>
  <c r="AA31" i="11"/>
  <c r="R31" i="11"/>
  <c r="O51" i="11"/>
  <c r="Q51" i="11" s="1"/>
  <c r="W51" i="11" s="1"/>
  <c r="O41" i="11"/>
  <c r="Q41" i="11" s="1"/>
  <c r="W41" i="11" s="1"/>
  <c r="J72" i="11"/>
  <c r="J73" i="11" s="1"/>
  <c r="J74" i="11" s="1"/>
  <c r="O74" i="11" s="1"/>
  <c r="Q74" i="11" s="1"/>
  <c r="R74" i="11" s="1"/>
  <c r="O71" i="11"/>
  <c r="Q71" i="11" s="1"/>
  <c r="Z37" i="14"/>
  <c r="W37" i="14"/>
  <c r="Y119" i="11"/>
  <c r="AB111" i="11"/>
  <c r="F10" i="1" s="1"/>
  <c r="AB72" i="11"/>
  <c r="P95" i="11"/>
  <c r="AB84" i="11"/>
  <c r="O69" i="11"/>
  <c r="Q69" i="11" s="1"/>
  <c r="X69" i="11" s="1"/>
  <c r="AB93" i="11"/>
  <c r="F8" i="1" s="1"/>
  <c r="AB29" i="11"/>
  <c r="AB68" i="11"/>
  <c r="Z119" i="11"/>
  <c r="X59" i="11"/>
  <c r="AA119" i="11"/>
  <c r="AB102" i="11"/>
  <c r="F9" i="1" s="1"/>
  <c r="W119" i="11"/>
  <c r="Y59" i="11"/>
  <c r="R59" i="11"/>
  <c r="Z59" i="11"/>
  <c r="Z24" i="11"/>
  <c r="AB20" i="11"/>
  <c r="D5" i="1" s="1"/>
  <c r="AB38" i="11"/>
  <c r="AA24" i="11"/>
  <c r="L43" i="11"/>
  <c r="L44" i="11" s="1"/>
  <c r="O42" i="11"/>
  <c r="Q42" i="11" s="1"/>
  <c r="X109" i="11"/>
  <c r="Z109" i="11"/>
  <c r="AA109" i="11"/>
  <c r="Y109" i="11"/>
  <c r="W109" i="11"/>
  <c r="AB48" i="11"/>
  <c r="W101" i="11"/>
  <c r="X101" i="11"/>
  <c r="Z101" i="11"/>
  <c r="AA101" i="11"/>
  <c r="Y101" i="11"/>
  <c r="AA82" i="11"/>
  <c r="X82" i="11"/>
  <c r="W82" i="11"/>
  <c r="Y82" i="11"/>
  <c r="Z82" i="11"/>
  <c r="J44" i="11"/>
  <c r="O44" i="11" s="1"/>
  <c r="Q44" i="11" s="1"/>
  <c r="O43" i="11"/>
  <c r="Q43" i="11" s="1"/>
  <c r="O53" i="11"/>
  <c r="Q53" i="11" s="1"/>
  <c r="J54" i="11"/>
  <c r="O54" i="11" s="1"/>
  <c r="Q54" i="11" s="1"/>
  <c r="Z100" i="11"/>
  <c r="AA100" i="11"/>
  <c r="W100" i="11"/>
  <c r="X100" i="11"/>
  <c r="Y100" i="11"/>
  <c r="Y92" i="11"/>
  <c r="R92" i="11"/>
  <c r="X92" i="11"/>
  <c r="AA92" i="11"/>
  <c r="Z92" i="11"/>
  <c r="O52" i="11"/>
  <c r="Q52" i="11" s="1"/>
  <c r="L53" i="11"/>
  <c r="L54" i="11" s="1"/>
  <c r="R24" i="11"/>
  <c r="C32" i="1" s="1"/>
  <c r="AB21" i="11"/>
  <c r="E5" i="1" s="1"/>
  <c r="AA83" i="11"/>
  <c r="X83" i="11"/>
  <c r="Z83" i="11"/>
  <c r="Y83" i="11"/>
  <c r="W83" i="11"/>
  <c r="AA110" i="11"/>
  <c r="Z110" i="11"/>
  <c r="X110" i="11"/>
  <c r="Y110" i="11"/>
  <c r="W110" i="11"/>
  <c r="R39" i="11"/>
  <c r="Z39" i="11"/>
  <c r="X39" i="11"/>
  <c r="AA39" i="11"/>
  <c r="Y39" i="11"/>
  <c r="Y91" i="11"/>
  <c r="Z91" i="11"/>
  <c r="X91" i="11"/>
  <c r="AA91" i="11"/>
  <c r="R91" i="11"/>
  <c r="R49" i="11"/>
  <c r="X49" i="11"/>
  <c r="Y49" i="11"/>
  <c r="Z49" i="11"/>
  <c r="AA49" i="11"/>
  <c r="AB90" i="11"/>
  <c r="C8" i="1" s="1"/>
  <c r="AB28" i="11"/>
  <c r="AB81" i="11"/>
  <c r="Z103" i="11"/>
  <c r="Z120" i="11" s="1"/>
  <c r="Z85" i="11"/>
  <c r="Y112" i="11"/>
  <c r="AB94" i="11"/>
  <c r="G8" i="1" s="1"/>
  <c r="AB23" i="11"/>
  <c r="G5" i="1" s="1"/>
  <c r="I24" i="11"/>
  <c r="H24" i="11"/>
  <c r="W103" i="11"/>
  <c r="X112" i="11"/>
  <c r="X120" i="11" s="1"/>
  <c r="AA112" i="11"/>
  <c r="O113" i="11"/>
  <c r="AA85" i="11"/>
  <c r="P104" i="11"/>
  <c r="Q105" i="11" s="1"/>
  <c r="Y85" i="11"/>
  <c r="P86" i="11"/>
  <c r="P113" i="11"/>
  <c r="AA103" i="11"/>
  <c r="Y103" i="11"/>
  <c r="W112" i="11"/>
  <c r="O104" i="11"/>
  <c r="X85" i="11"/>
  <c r="Y86" i="14"/>
  <c r="Y91" i="14" s="1"/>
  <c r="P91" i="14"/>
  <c r="R86" i="14"/>
  <c r="R91" i="14" s="1"/>
  <c r="AA86" i="14"/>
  <c r="AA91" i="14" s="1"/>
  <c r="X86" i="14"/>
  <c r="AB77" i="14"/>
  <c r="Q95" i="14"/>
  <c r="Y95" i="14" s="1"/>
  <c r="O100" i="14"/>
  <c r="Z30" i="14"/>
  <c r="X30" i="14"/>
  <c r="R30" i="14"/>
  <c r="O29" i="14"/>
  <c r="Q29" i="14" s="1"/>
  <c r="X29" i="14" s="1"/>
  <c r="Y30" i="14"/>
  <c r="X34" i="11"/>
  <c r="AA34" i="11"/>
  <c r="R34" i="11"/>
  <c r="AB63" i="11"/>
  <c r="Y34" i="11"/>
  <c r="AB33" i="11"/>
  <c r="P107" i="14"/>
  <c r="W107" i="14" s="1"/>
  <c r="W124" i="14" s="1"/>
  <c r="P104" i="14"/>
  <c r="X104" i="14" s="1"/>
  <c r="P106" i="14"/>
  <c r="AA106" i="14" s="1"/>
  <c r="AA123" i="14" s="1"/>
  <c r="P105" i="14"/>
  <c r="X105" i="14" s="1"/>
  <c r="X122" i="14" s="1"/>
  <c r="X108" i="14"/>
  <c r="X125" i="14" s="1"/>
  <c r="W108" i="14"/>
  <c r="W125" i="14" s="1"/>
  <c r="Y108" i="14"/>
  <c r="Y125" i="14" s="1"/>
  <c r="AA108" i="14"/>
  <c r="AA125" i="14" s="1"/>
  <c r="Z108" i="14"/>
  <c r="Z125" i="14" s="1"/>
  <c r="X37" i="14"/>
  <c r="R37" i="14"/>
  <c r="AA37" i="14"/>
  <c r="Y37" i="14"/>
  <c r="AB34" i="14"/>
  <c r="AB80" i="14"/>
  <c r="L28" i="14"/>
  <c r="O28" i="14" s="1"/>
  <c r="Q28" i="14" s="1"/>
  <c r="Z13" i="14"/>
  <c r="AB13" i="14" s="1"/>
  <c r="P5" i="1"/>
  <c r="Z12" i="14"/>
  <c r="R15" i="14"/>
  <c r="C33" i="1" s="1"/>
  <c r="AA11" i="14"/>
  <c r="AB11" i="14" s="1"/>
  <c r="M5" i="1" s="1"/>
  <c r="AA10" i="14"/>
  <c r="AB10" i="14" s="1"/>
  <c r="L5" i="1" s="1"/>
  <c r="AB60" i="14"/>
  <c r="AB57" i="14"/>
  <c r="Z91" i="14"/>
  <c r="Y82" i="14"/>
  <c r="AB79" i="14"/>
  <c r="Z82" i="14"/>
  <c r="AA82" i="14"/>
  <c r="X82" i="14"/>
  <c r="AB88" i="14"/>
  <c r="N8" i="1" s="1"/>
  <c r="AB78" i="14"/>
  <c r="AB44" i="14"/>
  <c r="AB97" i="14"/>
  <c r="N9" i="1" s="1"/>
  <c r="AB96" i="14"/>
  <c r="AB58" i="14"/>
  <c r="R40" i="14"/>
  <c r="Y40" i="14"/>
  <c r="AA40" i="14"/>
  <c r="Z40" i="14"/>
  <c r="X40" i="14"/>
  <c r="W38" i="14"/>
  <c r="X38" i="14"/>
  <c r="R38" i="14"/>
  <c r="Y38" i="14"/>
  <c r="AA38" i="14"/>
  <c r="Z38" i="14"/>
  <c r="R49" i="14"/>
  <c r="Z49" i="14"/>
  <c r="AA49" i="14"/>
  <c r="Y49" i="14"/>
  <c r="X49" i="14"/>
  <c r="Z39" i="14"/>
  <c r="X39" i="14"/>
  <c r="AA39" i="14"/>
  <c r="Y39" i="14"/>
  <c r="R39" i="14"/>
  <c r="X50" i="14"/>
  <c r="Y50" i="14"/>
  <c r="R50" i="14"/>
  <c r="Z50" i="14"/>
  <c r="AA50" i="14"/>
  <c r="AB35" i="14"/>
  <c r="O25" i="14"/>
  <c r="Q25" i="14" s="1"/>
  <c r="K26" i="14"/>
  <c r="K27" i="14" s="1"/>
  <c r="K28" i="14" s="1"/>
  <c r="K29" i="14" s="1"/>
  <c r="K30" i="14" s="1"/>
  <c r="AB87" i="14"/>
  <c r="M8" i="1" s="1"/>
  <c r="L49" i="14"/>
  <c r="L50" i="14" s="1"/>
  <c r="O48" i="14"/>
  <c r="Q48" i="14" s="1"/>
  <c r="W82" i="14"/>
  <c r="Z24" i="14"/>
  <c r="Y24" i="14"/>
  <c r="X24" i="14"/>
  <c r="W24" i="14"/>
  <c r="R24" i="14"/>
  <c r="AA24" i="14"/>
  <c r="Y47" i="14"/>
  <c r="AA47" i="14"/>
  <c r="X47" i="14"/>
  <c r="R47" i="14"/>
  <c r="Z47" i="14"/>
  <c r="Y45" i="14"/>
  <c r="X45" i="14"/>
  <c r="Z45" i="14"/>
  <c r="R45" i="14"/>
  <c r="AA45" i="14"/>
  <c r="AB108" i="11"/>
  <c r="C10" i="1" s="1"/>
  <c r="Z99" i="11"/>
  <c r="Z116" i="11" s="1"/>
  <c r="X99" i="11"/>
  <c r="X116" i="11" s="1"/>
  <c r="W99" i="11"/>
  <c r="W116" i="11" s="1"/>
  <c r="Y99" i="11"/>
  <c r="Y116" i="11" s="1"/>
  <c r="AA99" i="11"/>
  <c r="AA116" i="11" s="1"/>
  <c r="Q104" i="11"/>
  <c r="W105" i="11" s="1"/>
  <c r="AA27" i="14" l="1"/>
  <c r="X27" i="14"/>
  <c r="AB31" i="11"/>
  <c r="O73" i="11"/>
  <c r="Q73" i="11" s="1"/>
  <c r="Z73" i="11" s="1"/>
  <c r="R27" i="14"/>
  <c r="Z27" i="14"/>
  <c r="Y27" i="14"/>
  <c r="AA41" i="11"/>
  <c r="AA51" i="11"/>
  <c r="Y51" i="11"/>
  <c r="Z51" i="11"/>
  <c r="Y41" i="11"/>
  <c r="X41" i="11"/>
  <c r="R51" i="11"/>
  <c r="X51" i="11"/>
  <c r="Z41" i="11"/>
  <c r="R41" i="11"/>
  <c r="X74" i="11"/>
  <c r="AA74" i="11"/>
  <c r="Y74" i="11"/>
  <c r="Z74" i="11"/>
  <c r="W71" i="11"/>
  <c r="Z71" i="11"/>
  <c r="R71" i="11"/>
  <c r="Y71" i="11"/>
  <c r="AA71" i="11"/>
  <c r="X71" i="11"/>
  <c r="Z117" i="11"/>
  <c r="AA117" i="11"/>
  <c r="Z69" i="11"/>
  <c r="W86" i="11"/>
  <c r="AB59" i="11"/>
  <c r="R69" i="11"/>
  <c r="AA69" i="11"/>
  <c r="Y69" i="11"/>
  <c r="Y117" i="11"/>
  <c r="AB119" i="11"/>
  <c r="Z95" i="11"/>
  <c r="AA86" i="11"/>
  <c r="AA113" i="11"/>
  <c r="Z86" i="11"/>
  <c r="Z113" i="11"/>
  <c r="X95" i="11"/>
  <c r="AB109" i="11"/>
  <c r="D10" i="1" s="1"/>
  <c r="Y95" i="11"/>
  <c r="B16" i="1"/>
  <c r="AB49" i="11"/>
  <c r="AA95" i="11"/>
  <c r="Y52" i="11"/>
  <c r="AA52" i="11"/>
  <c r="R52" i="11"/>
  <c r="X52" i="11"/>
  <c r="W52" i="11"/>
  <c r="Z52" i="11"/>
  <c r="W117" i="11"/>
  <c r="AB100" i="11"/>
  <c r="W118" i="11"/>
  <c r="AB101" i="11"/>
  <c r="Z54" i="11"/>
  <c r="AA54" i="11"/>
  <c r="X54" i="11"/>
  <c r="R54" i="11"/>
  <c r="Y54" i="11"/>
  <c r="AB82" i="11"/>
  <c r="AB91" i="11"/>
  <c r="D8" i="1" s="1"/>
  <c r="R95" i="11"/>
  <c r="AA53" i="11"/>
  <c r="R53" i="11"/>
  <c r="Y53" i="11"/>
  <c r="X53" i="11"/>
  <c r="Z53" i="11"/>
  <c r="X86" i="11"/>
  <c r="Y86" i="11"/>
  <c r="AB83" i="11"/>
  <c r="AB39" i="11"/>
  <c r="AB92" i="11"/>
  <c r="E8" i="1" s="1"/>
  <c r="R43" i="11"/>
  <c r="Y43" i="11"/>
  <c r="X43" i="11"/>
  <c r="AA43" i="11"/>
  <c r="Z43" i="11"/>
  <c r="Y118" i="11"/>
  <c r="W113" i="11"/>
  <c r="H5" i="1"/>
  <c r="AB110" i="11"/>
  <c r="E10" i="1" s="1"/>
  <c r="X44" i="11"/>
  <c r="R44" i="11"/>
  <c r="Z44" i="11"/>
  <c r="Y44" i="11"/>
  <c r="AA44" i="11"/>
  <c r="AA118" i="11"/>
  <c r="Z118" i="11"/>
  <c r="Y113" i="11"/>
  <c r="X117" i="11"/>
  <c r="X118" i="11"/>
  <c r="X42" i="11"/>
  <c r="W42" i="11"/>
  <c r="Y42" i="11"/>
  <c r="R42" i="11"/>
  <c r="AA42" i="11"/>
  <c r="Z42" i="11"/>
  <c r="Y120" i="11"/>
  <c r="AA120" i="11"/>
  <c r="AB24" i="11"/>
  <c r="AB112" i="11"/>
  <c r="G10" i="1" s="1"/>
  <c r="J24" i="11"/>
  <c r="AB103" i="11"/>
  <c r="G9" i="1" s="1"/>
  <c r="X113" i="11"/>
  <c r="W120" i="11"/>
  <c r="AB85" i="11"/>
  <c r="AB86" i="14"/>
  <c r="L8" i="1" s="1"/>
  <c r="Q8" i="1" s="1"/>
  <c r="X91" i="14"/>
  <c r="AA95" i="14"/>
  <c r="AA100" i="14" s="1"/>
  <c r="X95" i="14"/>
  <c r="X121" i="14" s="1"/>
  <c r="Q100" i="14"/>
  <c r="AB30" i="14"/>
  <c r="Z95" i="14"/>
  <c r="Z100" i="14" s="1"/>
  <c r="R29" i="14"/>
  <c r="AA29" i="14"/>
  <c r="W95" i="14"/>
  <c r="W100" i="14" s="1"/>
  <c r="Z29" i="14"/>
  <c r="Y29" i="14"/>
  <c r="M9" i="1"/>
  <c r="AB34" i="11"/>
  <c r="W104" i="14"/>
  <c r="Y104" i="14"/>
  <c r="Y121" i="14" s="1"/>
  <c r="AA104" i="14"/>
  <c r="Z104" i="14"/>
  <c r="AA107" i="14"/>
  <c r="AA124" i="14" s="1"/>
  <c r="Y107" i="14"/>
  <c r="Y124" i="14" s="1"/>
  <c r="Z107" i="14"/>
  <c r="Z124" i="14" s="1"/>
  <c r="X107" i="14"/>
  <c r="X124" i="14" s="1"/>
  <c r="Y105" i="14"/>
  <c r="Y122" i="14" s="1"/>
  <c r="W105" i="14"/>
  <c r="W122" i="14" s="1"/>
  <c r="AA105" i="14"/>
  <c r="AA122" i="14" s="1"/>
  <c r="Z105" i="14"/>
  <c r="Z122" i="14" s="1"/>
  <c r="P109" i="14"/>
  <c r="Z106" i="14"/>
  <c r="Z123" i="14" s="1"/>
  <c r="Y106" i="14"/>
  <c r="Y123" i="14" s="1"/>
  <c r="X106" i="14"/>
  <c r="W106" i="14"/>
  <c r="W123" i="14" s="1"/>
  <c r="AB108" i="14"/>
  <c r="AB37" i="14"/>
  <c r="L29" i="14"/>
  <c r="L30" i="14" s="1"/>
  <c r="Z15" i="14"/>
  <c r="AB12" i="14"/>
  <c r="AB15" i="14" s="1"/>
  <c r="AA15" i="14"/>
  <c r="O5" i="1"/>
  <c r="AB24" i="14"/>
  <c r="AB45" i="14"/>
  <c r="AB47" i="14"/>
  <c r="AB39" i="14"/>
  <c r="AB49" i="14"/>
  <c r="Y100" i="14"/>
  <c r="AB38" i="14"/>
  <c r="AA48" i="14"/>
  <c r="X48" i="14"/>
  <c r="W48" i="14"/>
  <c r="Z48" i="14"/>
  <c r="R48" i="14"/>
  <c r="Y48" i="14"/>
  <c r="AB50" i="14"/>
  <c r="R28" i="14"/>
  <c r="Z28" i="14"/>
  <c r="Y28" i="14"/>
  <c r="AA28" i="14"/>
  <c r="W28" i="14"/>
  <c r="X28" i="14"/>
  <c r="Z25" i="14"/>
  <c r="Y25" i="14"/>
  <c r="AA25" i="14"/>
  <c r="X25" i="14"/>
  <c r="R25" i="14"/>
  <c r="AB82" i="14"/>
  <c r="L7" i="1" s="1"/>
  <c r="AB40" i="14"/>
  <c r="X104" i="11"/>
  <c r="Y104" i="11"/>
  <c r="Z104" i="11"/>
  <c r="AA104" i="11"/>
  <c r="AB99" i="11"/>
  <c r="C9" i="1" s="1"/>
  <c r="W104" i="11"/>
  <c r="R73" i="11" l="1"/>
  <c r="X73" i="11"/>
  <c r="Y73" i="11"/>
  <c r="AA73" i="11"/>
  <c r="AB27" i="14"/>
  <c r="AB74" i="11"/>
  <c r="AB41" i="11"/>
  <c r="AB51" i="11"/>
  <c r="AB71" i="11"/>
  <c r="AB69" i="11"/>
  <c r="H8" i="1"/>
  <c r="AB95" i="11"/>
  <c r="E16" i="1" s="1"/>
  <c r="AB86" i="11"/>
  <c r="C7" i="1" s="1"/>
  <c r="D16" i="1" s="1"/>
  <c r="D9" i="1"/>
  <c r="AB117" i="11"/>
  <c r="AB54" i="11"/>
  <c r="AB42" i="11"/>
  <c r="AB43" i="11"/>
  <c r="AB53" i="11"/>
  <c r="AB52" i="11"/>
  <c r="H10" i="1"/>
  <c r="E9" i="1"/>
  <c r="AB118" i="11"/>
  <c r="AB44" i="11"/>
  <c r="AB120" i="11"/>
  <c r="AB113" i="11"/>
  <c r="AB91" i="14"/>
  <c r="X100" i="14"/>
  <c r="Z121" i="14"/>
  <c r="AB95" i="14"/>
  <c r="L9" i="1" s="1"/>
  <c r="Q9" i="1" s="1"/>
  <c r="W121" i="14"/>
  <c r="AB29" i="14"/>
  <c r="AB125" i="14"/>
  <c r="P10" i="1"/>
  <c r="X109" i="14"/>
  <c r="Z121" i="11"/>
  <c r="X121" i="11"/>
  <c r="AA121" i="11"/>
  <c r="Y121" i="11"/>
  <c r="W121" i="11"/>
  <c r="AB104" i="11"/>
  <c r="AB116" i="11"/>
  <c r="AB104" i="14"/>
  <c r="AA121" i="14"/>
  <c r="AB107" i="14"/>
  <c r="Z109" i="14"/>
  <c r="Z126" i="14" s="1"/>
  <c r="AA109" i="14"/>
  <c r="AA126" i="14" s="1"/>
  <c r="AB105" i="14"/>
  <c r="X123" i="14"/>
  <c r="Y109" i="14"/>
  <c r="Y126" i="14" s="1"/>
  <c r="AB106" i="14"/>
  <c r="W109" i="14"/>
  <c r="W126" i="14" s="1"/>
  <c r="E17" i="1"/>
  <c r="N5" i="1"/>
  <c r="B17" i="1" s="1"/>
  <c r="D17" i="1"/>
  <c r="Q7" i="1"/>
  <c r="AB25" i="14"/>
  <c r="AB48" i="14"/>
  <c r="AB28" i="14"/>
  <c r="AB73" i="11" l="1"/>
  <c r="H7" i="1"/>
  <c r="H9" i="1"/>
  <c r="AB121" i="11"/>
  <c r="X126" i="14"/>
  <c r="AB100" i="14"/>
  <c r="AB121" i="14"/>
  <c r="L10" i="1"/>
  <c r="AB123" i="14"/>
  <c r="N10" i="1"/>
  <c r="AB124" i="14"/>
  <c r="O10" i="1"/>
  <c r="M10" i="1"/>
  <c r="AB122" i="14"/>
  <c r="F16" i="1"/>
  <c r="AB109" i="14"/>
  <c r="Q5" i="1"/>
  <c r="AB126" i="14" l="1"/>
  <c r="F17" i="1" s="1"/>
  <c r="Q10" i="1"/>
  <c r="C12" i="16" l="1" a="1"/>
  <c r="C12" i="16" s="1"/>
  <c r="B12" i="16" a="1"/>
  <c r="B12" i="16" s="1"/>
  <c r="A12" i="16" a="1"/>
  <c r="A12" i="16" s="1"/>
  <c r="F12" i="16" a="1"/>
  <c r="F12" i="16" s="1"/>
  <c r="D12" i="16" a="1"/>
  <c r="D12" i="16" s="1"/>
  <c r="E12" i="16" a="1"/>
  <c r="E12" i="16" s="1"/>
  <c r="E30" i="11" l="1"/>
  <c r="E50" i="11" s="1"/>
  <c r="E26" i="14"/>
  <c r="H30" i="11"/>
  <c r="O30" i="11" s="1"/>
  <c r="Q30" i="11" s="1"/>
  <c r="R30" i="11" s="1"/>
  <c r="H26" i="14"/>
  <c r="C30" i="11"/>
  <c r="C60" i="11" s="1"/>
  <c r="C26" i="14"/>
  <c r="G30" i="11"/>
  <c r="G40" i="11" s="1"/>
  <c r="G50" i="11" s="1"/>
  <c r="G60" i="11" s="1"/>
  <c r="G70" i="11" s="1"/>
  <c r="G26" i="14"/>
  <c r="G36" i="14" s="1"/>
  <c r="G46" i="14" s="1"/>
  <c r="G56" i="14" s="1"/>
  <c r="G66" i="14" s="1"/>
  <c r="D30" i="11"/>
  <c r="D40" i="11" s="1"/>
  <c r="D26" i="14"/>
  <c r="D50" i="11" l="1"/>
  <c r="D60" i="11"/>
  <c r="E70" i="11"/>
  <c r="D70" i="11"/>
  <c r="E40" i="11"/>
  <c r="E60" i="11"/>
  <c r="C70" i="11"/>
  <c r="W30" i="11"/>
  <c r="W35" i="11" s="1"/>
  <c r="H40" i="11"/>
  <c r="O40" i="11" s="1"/>
  <c r="Q40" i="11" s="1"/>
  <c r="C50" i="11"/>
  <c r="C40" i="11"/>
  <c r="H36" i="14"/>
  <c r="O26" i="14"/>
  <c r="Q26" i="14" s="1"/>
  <c r="R26" i="14" s="1"/>
  <c r="D66" i="14"/>
  <c r="D36" i="14"/>
  <c r="D46" i="14"/>
  <c r="D56" i="14"/>
  <c r="E56" i="14"/>
  <c r="E46" i="14"/>
  <c r="E36" i="14"/>
  <c r="E66" i="14"/>
  <c r="C46" i="14"/>
  <c r="C36" i="14"/>
  <c r="C66" i="14"/>
  <c r="C56" i="14"/>
  <c r="AA30" i="11"/>
  <c r="AA35" i="11" s="1"/>
  <c r="Y30" i="11"/>
  <c r="Y35" i="11" s="1"/>
  <c r="Z30" i="11"/>
  <c r="Z35" i="11" s="1"/>
  <c r="R35" i="11"/>
  <c r="X30" i="11"/>
  <c r="X35" i="11" s="1"/>
  <c r="Y40" i="11" l="1"/>
  <c r="Y45" i="11" s="1"/>
  <c r="H50" i="11"/>
  <c r="H60" i="11" s="1"/>
  <c r="AA26" i="14"/>
  <c r="AA31" i="14" s="1"/>
  <c r="W26" i="14"/>
  <c r="W31" i="14" s="1"/>
  <c r="Z26" i="14"/>
  <c r="Z31" i="14" s="1"/>
  <c r="Y26" i="14"/>
  <c r="Y31" i="14" s="1"/>
  <c r="X26" i="14"/>
  <c r="X31" i="14" s="1"/>
  <c r="AB30" i="11"/>
  <c r="AB35" i="11" s="1"/>
  <c r="C6" i="1" s="1"/>
  <c r="R31" i="14"/>
  <c r="H46" i="14"/>
  <c r="O36" i="14"/>
  <c r="Q36" i="14" s="1"/>
  <c r="R36" i="14" s="1"/>
  <c r="X40" i="11"/>
  <c r="X45" i="11" s="1"/>
  <c r="AA40" i="11"/>
  <c r="AA45" i="11" s="1"/>
  <c r="W40" i="11"/>
  <c r="W45" i="11" s="1"/>
  <c r="R40" i="11"/>
  <c r="D32" i="1"/>
  <c r="E32" i="1" s="1"/>
  <c r="Z40" i="11"/>
  <c r="Z45" i="11" s="1"/>
  <c r="O50" i="11" l="1"/>
  <c r="Q50" i="11" s="1"/>
  <c r="R50" i="11" s="1"/>
  <c r="AB26" i="14"/>
  <c r="AB31" i="14" s="1"/>
  <c r="L6" i="1" s="1"/>
  <c r="W36" i="14"/>
  <c r="W41" i="14" s="1"/>
  <c r="Y36" i="14"/>
  <c r="Y41" i="14" s="1"/>
  <c r="R41" i="14"/>
  <c r="AA36" i="14"/>
  <c r="AA41" i="14" s="1"/>
  <c r="X36" i="14"/>
  <c r="X41" i="14" s="1"/>
  <c r="H56" i="14"/>
  <c r="O46" i="14"/>
  <c r="Q46" i="14" s="1"/>
  <c r="W46" i="14" s="1"/>
  <c r="W51" i="14" s="1"/>
  <c r="D33" i="1"/>
  <c r="E33" i="1" s="1"/>
  <c r="F33" i="1" s="1"/>
  <c r="Z36" i="14"/>
  <c r="Z41" i="14" s="1"/>
  <c r="H70" i="11"/>
  <c r="O70" i="11" s="1"/>
  <c r="Q70" i="11" s="1"/>
  <c r="W70" i="11" s="1"/>
  <c r="W75" i="11" s="1"/>
  <c r="O60" i="11"/>
  <c r="Q60" i="11" s="1"/>
  <c r="W60" i="11" s="1"/>
  <c r="W65" i="11" s="1"/>
  <c r="C11" i="1"/>
  <c r="AB40" i="11"/>
  <c r="AB45" i="11" s="1"/>
  <c r="R45" i="11"/>
  <c r="W50" i="11" l="1"/>
  <c r="W55" i="11" s="1"/>
  <c r="W77" i="11" s="1"/>
  <c r="W124" i="11" s="1"/>
  <c r="Z50" i="11"/>
  <c r="Z55" i="11" s="1"/>
  <c r="Y50" i="11"/>
  <c r="Y55" i="11" s="1"/>
  <c r="AA50" i="11"/>
  <c r="AA55" i="11" s="1"/>
  <c r="X50" i="11"/>
  <c r="X55" i="11" s="1"/>
  <c r="R46" i="14"/>
  <c r="Z46" i="14"/>
  <c r="Z51" i="14" s="1"/>
  <c r="Y46" i="14"/>
  <c r="Y51" i="14" s="1"/>
  <c r="X46" i="14"/>
  <c r="X51" i="14" s="1"/>
  <c r="AA46" i="14"/>
  <c r="AA51" i="14" s="1"/>
  <c r="H66" i="14"/>
  <c r="O66" i="14" s="1"/>
  <c r="Q66" i="14" s="1"/>
  <c r="W66" i="14" s="1"/>
  <c r="W71" i="14" s="1"/>
  <c r="O56" i="14"/>
  <c r="Q56" i="14" s="1"/>
  <c r="W56" i="14" s="1"/>
  <c r="W61" i="14" s="1"/>
  <c r="L11" i="1"/>
  <c r="AB36" i="14"/>
  <c r="AB41" i="14" s="1"/>
  <c r="R60" i="11"/>
  <c r="Y60" i="11"/>
  <c r="Y65" i="11" s="1"/>
  <c r="X60" i="11"/>
  <c r="X65" i="11" s="1"/>
  <c r="AA60" i="11"/>
  <c r="AA65" i="11" s="1"/>
  <c r="Z60" i="11"/>
  <c r="Z65" i="11" s="1"/>
  <c r="D6" i="1"/>
  <c r="R70" i="11"/>
  <c r="AA70" i="11"/>
  <c r="AA75" i="11" s="1"/>
  <c r="Z70" i="11"/>
  <c r="Z75" i="11" s="1"/>
  <c r="X70" i="11"/>
  <c r="X75" i="11" s="1"/>
  <c r="Y70" i="11"/>
  <c r="Y75" i="11" s="1"/>
  <c r="R55" i="11"/>
  <c r="AB50" i="11" l="1"/>
  <c r="AB55" i="11" s="1"/>
  <c r="E6" i="1" s="1"/>
  <c r="E11" i="1" s="1"/>
  <c r="W73" i="14"/>
  <c r="W129" i="14" s="1"/>
  <c r="R56" i="14"/>
  <c r="Y56" i="14"/>
  <c r="Y61" i="14" s="1"/>
  <c r="Z56" i="14"/>
  <c r="Z61" i="14" s="1"/>
  <c r="AA56" i="14"/>
  <c r="AA61" i="14" s="1"/>
  <c r="X56" i="14"/>
  <c r="X61" i="14" s="1"/>
  <c r="R66" i="14"/>
  <c r="X66" i="14"/>
  <c r="X71" i="14" s="1"/>
  <c r="Y66" i="14"/>
  <c r="Y71" i="14" s="1"/>
  <c r="Z66" i="14"/>
  <c r="Z71" i="14" s="1"/>
  <c r="AA66" i="14"/>
  <c r="AA71" i="14" s="1"/>
  <c r="M6" i="1"/>
  <c r="AB46" i="14"/>
  <c r="AB51" i="14" s="1"/>
  <c r="N6" i="1" s="1"/>
  <c r="N11" i="1" s="1"/>
  <c r="R51" i="14"/>
  <c r="D11" i="1"/>
  <c r="Y77" i="11"/>
  <c r="Y124" i="11" s="1"/>
  <c r="Y125" i="11" s="1"/>
  <c r="Z77" i="11"/>
  <c r="Z124" i="11" s="1"/>
  <c r="Z125" i="11" s="1"/>
  <c r="AA77" i="11"/>
  <c r="AA124" i="11" s="1"/>
  <c r="AA125" i="11" s="1"/>
  <c r="X77" i="11"/>
  <c r="X124" i="11" s="1"/>
  <c r="X125" i="11" s="1"/>
  <c r="AB60" i="11"/>
  <c r="AB65" i="11" s="1"/>
  <c r="F6" i="1" s="1"/>
  <c r="F11" i="1" s="1"/>
  <c r="R65" i="11"/>
  <c r="AB70" i="11"/>
  <c r="AB75" i="11" s="1"/>
  <c r="G6" i="1" s="1"/>
  <c r="G11" i="1" s="1"/>
  <c r="G16" i="1" s="1"/>
  <c r="R75" i="11"/>
  <c r="AA73" i="14" l="1"/>
  <c r="AA129" i="14" s="1"/>
  <c r="AA130" i="14" s="1"/>
  <c r="Z73" i="14"/>
  <c r="Z129" i="14" s="1"/>
  <c r="Z130" i="14" s="1"/>
  <c r="X73" i="14"/>
  <c r="X129" i="14" s="1"/>
  <c r="X130" i="14" s="1"/>
  <c r="Y73" i="14"/>
  <c r="Y129" i="14" s="1"/>
  <c r="Y130" i="14" s="1"/>
  <c r="AB66" i="14"/>
  <c r="AB71" i="14" s="1"/>
  <c r="P6" i="1" s="1"/>
  <c r="P11" i="1" s="1"/>
  <c r="G17" i="1" s="1"/>
  <c r="R71" i="14"/>
  <c r="M11" i="1"/>
  <c r="AB56" i="14"/>
  <c r="AB61" i="14" s="1"/>
  <c r="O6" i="1" s="1"/>
  <c r="O11" i="1" s="1"/>
  <c r="R61" i="14"/>
  <c r="H6" i="1"/>
  <c r="H11" i="1" s="1"/>
  <c r="AB77" i="11"/>
  <c r="AB124" i="11" s="1"/>
  <c r="C16" i="1"/>
  <c r="H16" i="1" s="1"/>
  <c r="R77" i="11"/>
  <c r="R124" i="11" s="1"/>
  <c r="W125" i="11" s="1"/>
  <c r="AB125" i="11" s="1"/>
  <c r="R73" i="14" l="1"/>
  <c r="R129" i="14" s="1"/>
  <c r="W130" i="14" s="1"/>
  <c r="W131" i="14" s="1"/>
  <c r="C17" i="1"/>
  <c r="H17" i="1" s="1"/>
  <c r="AB73" i="14"/>
  <c r="AB129" i="14" s="1"/>
  <c r="Q6" i="1"/>
  <c r="Q11" i="1" s="1"/>
  <c r="Q12" i="1" s="1"/>
  <c r="W126" i="11"/>
  <c r="X126" i="11" s="1"/>
  <c r="AB130" i="14" l="1"/>
  <c r="C20" i="1"/>
  <c r="C21" i="1"/>
  <c r="X131" i="14"/>
  <c r="D20" i="1"/>
  <c r="Y126" i="11"/>
  <c r="Y131" i="14" l="1"/>
  <c r="D21" i="1"/>
  <c r="E20" i="1"/>
  <c r="Z126" i="11"/>
  <c r="Z131" i="14" l="1"/>
  <c r="E21" i="1"/>
  <c r="F20" i="1"/>
  <c r="AA126" i="11"/>
  <c r="G20" i="1" s="1"/>
  <c r="AA131" i="14" l="1"/>
  <c r="G21" i="1" s="1"/>
  <c r="F2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<sst xmlns="http://schemas.openxmlformats.org/spreadsheetml/2006/main" count="818" uniqueCount="233">
  <si>
    <t>Components</t>
  </si>
  <si>
    <t>Hardware</t>
  </si>
  <si>
    <t>Software</t>
  </si>
  <si>
    <t>People</t>
  </si>
  <si>
    <t>Network</t>
  </si>
  <si>
    <t>Facilities</t>
  </si>
  <si>
    <t>Prod</t>
  </si>
  <si>
    <t>Dev</t>
  </si>
  <si>
    <t>Test</t>
  </si>
  <si>
    <t>QA</t>
  </si>
  <si>
    <t>DR</t>
  </si>
  <si>
    <t>Environments</t>
  </si>
  <si>
    <t>S</t>
  </si>
  <si>
    <t>Typically x86 workload</t>
  </si>
  <si>
    <t>Small Size Enterprise</t>
  </si>
  <si>
    <t>Server Model</t>
  </si>
  <si>
    <t>Starting Year of Maint</t>
  </si>
  <si>
    <t>kW</t>
  </si>
  <si>
    <t># of Server</t>
  </si>
  <si>
    <t># of Sockets</t>
  </si>
  <si>
    <t>TOT</t>
  </si>
  <si>
    <t>Acquisition Cost</t>
  </si>
  <si>
    <t>Maintenance/ Operating Cost</t>
  </si>
  <si>
    <t>Discount
%</t>
  </si>
  <si>
    <t># of Cores
per socket</t>
  </si>
  <si>
    <t># of Cores per Server</t>
  </si>
  <si>
    <t># of 
Sockets</t>
  </si>
  <si>
    <t># of 
Cores</t>
  </si>
  <si>
    <t>DB</t>
  </si>
  <si>
    <t>VM</t>
  </si>
  <si>
    <t>Application Server</t>
  </si>
  <si>
    <t>OS</t>
  </si>
  <si>
    <t>Software Stack</t>
  </si>
  <si>
    <t>socket</t>
  </si>
  <si>
    <t>core</t>
  </si>
  <si>
    <t>server</t>
  </si>
  <si>
    <t>Avg yearly Fully loaded cost of IT Staff</t>
  </si>
  <si>
    <t>Avg cost of Networking Infrastructure per Server</t>
  </si>
  <si>
    <t># of "boxes" per Rack</t>
  </si>
  <si>
    <t>Footprint of Server Rack Cabinet</t>
  </si>
  <si>
    <t>Fully loaded cost of space per sq meter</t>
  </si>
  <si>
    <t>Electricity Additional Cost for cooling, UPS and other peripherals</t>
  </si>
  <si>
    <t>%</t>
  </si>
  <si>
    <t>sq.m.</t>
  </si>
  <si>
    <t># of Servers</t>
  </si>
  <si>
    <t># of Rack Cab</t>
  </si>
  <si>
    <t>Avg. Footprint</t>
  </si>
  <si>
    <t>Space</t>
  </si>
  <si>
    <t>Electricity Consumption of Selected Server</t>
  </si>
  <si>
    <t>kWh</t>
  </si>
  <si>
    <t>Electricity</t>
  </si>
  <si>
    <t>TPS by Core</t>
  </si>
  <si>
    <t>Typical
core Ratio</t>
  </si>
  <si>
    <t>Prod
cores</t>
  </si>
  <si>
    <t>HA 
cores</t>
  </si>
  <si>
    <t>DR
cores</t>
  </si>
  <si>
    <t>Dev
cores</t>
  </si>
  <si>
    <t>Test
cores</t>
  </si>
  <si>
    <t>PreProd/QA</t>
  </si>
  <si>
    <t>PreProd
cores</t>
  </si>
  <si>
    <t>Tot # of cores</t>
  </si>
  <si>
    <t>The typical core ratio take into account:</t>
  </si>
  <si>
    <t>Starting Year of Maint charges</t>
  </si>
  <si>
    <t>Acquisition/ Capital Cost</t>
  </si>
  <si>
    <t>Unit of Measure</t>
  </si>
  <si>
    <t>Units</t>
  </si>
  <si>
    <t>TOTALS</t>
  </si>
  <si>
    <t>Environment being investigated</t>
  </si>
  <si>
    <t xml:space="preserve"> </t>
  </si>
  <si>
    <t>Production</t>
  </si>
  <si>
    <t>Pre Prod / QA</t>
  </si>
  <si>
    <t>Software Stack TOTALS</t>
  </si>
  <si>
    <t>This is for patches, upgrade, backup, Crit Sit or Disaster recovery personnels, etc</t>
  </si>
  <si>
    <t>Avg discount %</t>
  </si>
  <si>
    <t>Avg Maintenance/ Operating Cost (% of acq.)</t>
  </si>
  <si>
    <t>Avg Maintenance/ Operating Cost (Currency)</t>
  </si>
  <si>
    <t>TOT # of Servers</t>
  </si>
  <si>
    <t>FTE
Require</t>
  </si>
  <si>
    <t>TOT FTE required</t>
  </si>
  <si>
    <t># of Servers covered by 1 FTE for IT Operations considering QoS</t>
  </si>
  <si>
    <t>Actual Electricity Cost at the sites</t>
  </si>
  <si>
    <t>Yearly kWh/ server</t>
  </si>
  <si>
    <t>kWh / year</t>
  </si>
  <si>
    <t>Facilities TOTALS</t>
  </si>
  <si>
    <t># of Cores for bare workload</t>
  </si>
  <si>
    <t>Allocated
Cores</t>
  </si>
  <si>
    <t>% of Cores 
vs bare workload</t>
  </si>
  <si>
    <t>cores per Server</t>
  </si>
  <si>
    <t>Spare Cores</t>
  </si>
  <si>
    <t>Tot cores available</t>
  </si>
  <si>
    <t>% of spare cores</t>
  </si>
  <si>
    <t>Allocated Servers</t>
  </si>
  <si>
    <t>Allocated Sockets</t>
  </si>
  <si>
    <t>Measured by</t>
  </si>
  <si>
    <t>conversion factor</t>
  </si>
  <si>
    <t>PVU</t>
  </si>
  <si>
    <t>count</t>
  </si>
  <si>
    <t>PROD</t>
  </si>
  <si>
    <t>DEV</t>
  </si>
  <si>
    <t>Pre Prod /QA</t>
  </si>
  <si>
    <t>Year 1</t>
  </si>
  <si>
    <t>Year 2</t>
  </si>
  <si>
    <t>Year 3</t>
  </si>
  <si>
    <t>Year 4</t>
  </si>
  <si>
    <t>Year 5</t>
  </si>
  <si>
    <t>Cumulative Costs</t>
  </si>
  <si>
    <t>x86</t>
  </si>
  <si>
    <t>Total costs for this scenario</t>
  </si>
  <si>
    <t>Tot costs per year</t>
  </si>
  <si>
    <t>Tot cumulative costs</t>
  </si>
  <si>
    <t>Data Replication Tools</t>
  </si>
  <si>
    <t>CBU Cost</t>
  </si>
  <si>
    <t>Total by Env</t>
  </si>
  <si>
    <t>Tot by Comp</t>
  </si>
  <si>
    <t>Linux ONE</t>
  </si>
  <si>
    <t>Enterprise Grade Linux Environment</t>
  </si>
  <si>
    <t>Typically LinuxONE</t>
  </si>
  <si>
    <t>Site 1
CBU</t>
  </si>
  <si>
    <t>Site 2
CBU</t>
  </si>
  <si>
    <t>Price per Site</t>
  </si>
  <si>
    <t>SW Incl</t>
  </si>
  <si>
    <t>SW incl</t>
  </si>
  <si>
    <t>Allocation %</t>
  </si>
  <si>
    <t>Admin</t>
  </si>
  <si>
    <t>Management</t>
  </si>
  <si>
    <t>Maintenance/ Subscription</t>
  </si>
  <si>
    <t>Monitoring Tools</t>
  </si>
  <si>
    <t>Security Tools</t>
  </si>
  <si>
    <t>Dev % 
of Workload</t>
  </si>
  <si>
    <t>Test % 
of Workload</t>
  </si>
  <si>
    <t>x86 to z
Core
ratio
no DR</t>
  </si>
  <si>
    <t>x86 to z
Core
ratio</t>
  </si>
  <si>
    <t xml:space="preserve">Architecture, GHz &amp; utilization, VM &amp; Hypervisor effect, System Overhead, Networking co-location effect, Sysplex, etc. </t>
  </si>
  <si>
    <t>PreProd</t>
  </si>
  <si>
    <t>see sizing</t>
  </si>
  <si>
    <t>* most customers would have exact replica of Prod</t>
  </si>
  <si>
    <t>In order to make a simple and realistic sizing, for this exercise a simplified approach is used considering the Typical core ratio.</t>
  </si>
  <si>
    <t>Electricity Consumption by fully loaded z Server</t>
  </si>
  <si>
    <t>Simplicistic architecture considering always 2 LinuxONE servers, each one in a different site for HA &amp; DR</t>
  </si>
  <si>
    <t>Although these data will change slightly depending the server model used, these data averages are proved by many real workloads and documented also on papers such as those reported in the references.</t>
  </si>
  <si>
    <t>Workload [TPS]=</t>
  </si>
  <si>
    <t># of Cores
for workload TPS</t>
  </si>
  <si>
    <t>TCA (1st year)</t>
  </si>
  <si>
    <t>Workload (TPS)</t>
  </si>
  <si>
    <t>Simplicistic model to build a price example</t>
  </si>
  <si>
    <t>LinuxONE</t>
  </si>
  <si>
    <t>core cost</t>
  </si>
  <si>
    <t># of Cores (core) for bare workload</t>
  </si>
  <si>
    <t>Site 1
core</t>
  </si>
  <si>
    <t>Site 2
core</t>
  </si>
  <si>
    <t>Electricity by core</t>
  </si>
  <si>
    <t>Included cores</t>
  </si>
  <si>
    <t>Rack server w Xeon Gold 6146 12C 3.20GHz (4 Chips, 48 Cores)</t>
  </si>
  <si>
    <t>Rack server w Xeon Gold 5115 10C 2.40GHz (2 Chips, 20 Cores)</t>
  </si>
  <si>
    <t>Rack server w  Xeon Gold 6244 8C 3.60GHz (2 Chips, 16 Cores)</t>
  </si>
  <si>
    <t>Acquisition/Capital Cost</t>
  </si>
  <si>
    <t>Number of cores</t>
  </si>
  <si>
    <t>Reference: A. Micarelli, S. Proietti Conti, "Why Application Requirements Should Drive the Choice of your Infrastructure", 2021 IBM Corporation web published paper</t>
  </si>
  <si>
    <t>Download at:</t>
  </si>
  <si>
    <t>https://www.ibm.com/downloads/cas/2VVYYVNP</t>
  </si>
  <si>
    <t>Sizing Disclaimer:</t>
  </si>
  <si>
    <t xml:space="preserve">https://www.ibm.com/it-infrastructure/resources/tools/linuxone-tco-calculator/ </t>
  </si>
  <si>
    <t>This is an estimate based on this web page:</t>
  </si>
  <si>
    <t>Starting Year of yearly charges</t>
  </si>
  <si>
    <t>Legend:</t>
  </si>
  <si>
    <t>Optional input</t>
  </si>
  <si>
    <t>Calculation of required cores for a real workload requires sophisticated analysis.</t>
  </si>
  <si>
    <t>Calculated values</t>
  </si>
  <si>
    <t>Constant</t>
  </si>
  <si>
    <t>Calculated values highlighted (Important)</t>
  </si>
  <si>
    <t>Calculated values highlighted (Very Important)</t>
  </si>
  <si>
    <t>Input field</t>
  </si>
  <si>
    <t>Suggested input (reccomended not change)</t>
  </si>
  <si>
    <t>Rack server w Xeon Gold 6146 12C 3.20GHz (2 Chips, 24 Cores)</t>
  </si>
  <si>
    <t>x86 to z
Active Core
ratio</t>
  </si>
  <si>
    <t>Tot # of Active cores
no DR</t>
  </si>
  <si>
    <t>DR CBU (spare)
cores</t>
  </si>
  <si>
    <t>Tot # of Active cores</t>
  </si>
  <si>
    <t>Core per Server</t>
  </si>
  <si>
    <t>PreProd 
% of Workload</t>
  </si>
  <si>
    <t>DR active cores 
% of Prod+PreProd</t>
  </si>
  <si>
    <t>Savings =</t>
  </si>
  <si>
    <t>Max Server Faults</t>
  </si>
  <si>
    <t>HA Ratio</t>
  </si>
  <si>
    <t>Warmup Tasks</t>
  </si>
  <si>
    <t>Server</t>
  </si>
  <si>
    <t>Rack DELL w Xeon Gold 5220 18C 2.20GHz (4 Chips, 72 Cores)</t>
  </si>
  <si>
    <t>Rack HPE w Xeon Gold 6230 20C 2.10GHz (2 Chips, 40 Cores)</t>
  </si>
  <si>
    <t>PVU*</t>
  </si>
  <si>
    <t>* https://www.ibm.com/software/passportadvantage/pvu_licensing_for_customers.html</t>
  </si>
  <si>
    <t>Source</t>
  </si>
  <si>
    <t>https://www.dell.com/en-us/work/shop/cty/pdp/spd/poweredge-r940/pe_r940_12229_vi_vp?configurationid=98797f27-d554-4678-b6d3-e9240afd88af</t>
  </si>
  <si>
    <t>https://buy.hpe.com/it/it/servers/proliant-dl-servers/proliant-dl500-servers/proliant-dl560-server/hpe-proliant-dl560-gen10-server/hpe-proliant-dl560-gen10-6230-2-1ghz-20-core-2p-128gb-r-8sff-2x1600w-rps-server/p/P40455-B21</t>
  </si>
  <si>
    <t>Name</t>
  </si>
  <si>
    <t>https://www.oracle.com/assets/technology-price-list-070617.pdf</t>
  </si>
  <si>
    <t>WebLogic Server Enterprise Edition</t>
  </si>
  <si>
    <t>IBM WebSphere</t>
  </si>
  <si>
    <t>https://reviews.financesonline.com/p/ibm-webspehre/</t>
  </si>
  <si>
    <t>*</t>
  </si>
  <si>
    <t>Commercial Application Server</t>
  </si>
  <si>
    <t>Open Source Application Server</t>
  </si>
  <si>
    <t>https://www.redhat.com/en/store/red-hat-jboss-enterprise-application-platform</t>
  </si>
  <si>
    <t>JBoss Enterprise Application Platform</t>
  </si>
  <si>
    <t>Payara Server Enterprise</t>
  </si>
  <si>
    <t>https://www.payara.fish/page/payara-enterprise-downloads/</t>
  </si>
  <si>
    <t>Contact us</t>
  </si>
  <si>
    <t>-</t>
  </si>
  <si>
    <t>Commercial Database</t>
  </si>
  <si>
    <t>Data replication tool</t>
  </si>
  <si>
    <t>Oracle Database Enterprise Edition</t>
  </si>
  <si>
    <t>Microsoft SQL Server 2019</t>
  </si>
  <si>
    <t>Open Source Database</t>
  </si>
  <si>
    <t>MongoDB</t>
  </si>
  <si>
    <t>SQLite</t>
  </si>
  <si>
    <t>https://www.microsoft.com/en-us/sql-server/sql-server-2019-pricing</t>
  </si>
  <si>
    <t>https://www.pcworld.com/article/2466460/mongodb-adds-support-option-for-community-edition-of-its-nosql-database.html</t>
  </si>
  <si>
    <t>https://www.sqlite.org/prosupport.html</t>
  </si>
  <si>
    <t>year</t>
  </si>
  <si>
    <t>A30</t>
  </si>
  <si>
    <t>A31</t>
  </si>
  <si>
    <t>A32</t>
  </si>
  <si>
    <t>https://docs.microsoft.com/it-it/sql/relational-databases/replication/configure-publishing-and-distribution?view=sql-server-ver15</t>
  </si>
  <si>
    <t>https://github.com/benbjohnson/litestream</t>
  </si>
  <si>
    <t>All conversion factors are for x86 cores</t>
  </si>
  <si>
    <t>€ - $ Rate 25/03/21</t>
  </si>
  <si>
    <t>€/kWh</t>
  </si>
  <si>
    <t>€</t>
  </si>
  <si>
    <t>https://docs.mongodb.com/manual/tutorial/deploy-replica-set/</t>
  </si>
  <si>
    <t>https://www.reddit.com/r/mongodb/comments/a3xvaw/mongodb_enterprise_pricing/</t>
  </si>
  <si>
    <t>Another reference for MongoDB</t>
  </si>
  <si>
    <t>Database</t>
  </si>
  <si>
    <t>Remember to change discount and conversion factor in each TCO</t>
  </si>
  <si>
    <t>TCO at 5y 1 fault by TPS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</si>
</sst>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0\ &quot;€&quot;;[Red]\-#,##0\ &quot;€&quot;"/>
    <numFmt numFmtId="44" formatCode="_-* #,##0.00\ &quot;€&quot;_-;\-* #,##0.00\ &quot;€&quot;_-;_-* &quot;-&quot;??\ &quot;€&quot;_-;_-@_-"/>
    <numFmt numFmtId="43" formatCode="_-* #,##0.00_-;\-* #,##0.00_-;_-* &quot;-&quot;??_-;_-@_-"/>
    <numFmt numFmtId="164" formatCode="0.0"/>
    <numFmt numFmtId="165" formatCode="#,##0_ ;\-#,##0\ "/>
    <numFmt numFmtId="166" formatCode="_-* #,##0\ _€_-;\-* #,##0\ _€_-;_-* &quot;-&quot;\ _€_-;_-@_-"/>
    <numFmt numFmtId="167" formatCode="_-* #,##0.00\ _€_-;\-* #,##0.00\ _€_-;_-* &quot;-&quot;\ _€_-;_-@_-"/>
    <numFmt numFmtId="168" formatCode="_-* #,##0_-;\-* #,##0_-;_-* &quot;-&quot;??_-;_-@_-"/>
    <numFmt numFmtId="169" formatCode="#,##0.0_ ;\-#,##0.0\ "/>
    <numFmt numFmtId="170" formatCode="#,##0.000_ ;\-#,##0.000\ "/>
    <numFmt numFmtId="171" formatCode="0.000"/>
    <numFmt numFmtId="172" formatCode="#,##0.00\ &quot;€&quot;"/>
  </numFmts>
  <fonts count="17"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9"/>
      <color theme="1"/>
      <name val="Calibri"/>
      <family val="2"/>
      <scheme val="minor"/>
    </font>
    <font>
      <sz val="8"/>
      <name val="Calibri"/>
      <family val="2"/>
      <scheme val="minor"/>
    </font>
    <font>
      <b/>
      <sz val="14"/>
      <color theme="1"/>
      <name val="Calibri"/>
      <family val="2"/>
      <scheme val="minor"/>
    </font>
    <font>
      <b/>
      <sz val="16"/>
      <color theme="1"/>
      <name val="Calibri"/>
      <family val="2"/>
      <scheme val="minor"/>
    </font>
    <font>
      <sz val="11"/>
      <name val="Calibri"/>
      <family val="2"/>
      <scheme val="minor"/>
    </font>
    <font>
      <b/>
      <sz val="10"/>
      <color theme="1"/>
      <name val="Calibri"/>
      <family val="2"/>
      <scheme val="minor"/>
    </font>
    <font>
      <sz val="8"/>
      <color theme="1"/>
      <name val="Calibri"/>
      <family val="2"/>
      <scheme val="minor"/>
    </font>
    <font>
      <sz val="16"/>
      <color theme="1"/>
      <name val="Calibri"/>
      <family val="2"/>
      <scheme val="minor"/>
    </font>
    <font>
      <sz val="10"/>
      <color theme="1"/>
      <name val="Calibri"/>
      <family val="2"/>
      <scheme val="minor"/>
    </font>
    <font>
      <u/>
      <sz val="11"/>
      <color theme="10"/>
      <name val="Calibri"/>
      <family val="2"/>
      <scheme val="minor"/>
    </font>
    <font>
      <b/>
      <sz val="9"/>
      <color theme="1"/>
      <name val="Calibri"/>
      <family val="2"/>
      <scheme val="minor"/>
    </font>
    <font>
      <b/>
      <sz val="11"/>
      <color rgb="FFFF0000"/>
      <name val="Calibri"/>
      <family val="2"/>
      <scheme val="minor"/>
    </font>
    <font>
      <u/>
      <sz val="11"/>
      <color theme="1"/>
      <name val="Calibri"/>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FFFFCC"/>
        <bgColor indexed="64"/>
      </patternFill>
    </fill>
    <fill>
      <patternFill patternType="solid">
        <fgColor theme="0" tint="-0.14999847407452621"/>
        <bgColor indexed="64"/>
      </patternFill>
    </fill>
    <fill>
      <patternFill patternType="solid">
        <fgColor rgb="FF00B0F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13" fillId="0" borderId="0" applyNumberFormat="0" applyFill="0" applyBorder="0" applyAlignment="0" applyProtection="0"/>
  </cellStyleXfs>
  <cellXfs count="206">
    <xf numFmtId="0" fontId="0" fillId="0" borderId="0" xfId="0"/>
    <xf numFmtId="0" fontId="0" fillId="0" borderId="0" xfId="0" applyAlignment="1">
      <alignment horizontal="center"/>
    </xf>
    <xf numFmtId="0" fontId="0" fillId="3" borderId="0" xfId="0" applyFill="1" applyAlignment="1">
      <alignment horizontal="right" vertical="center"/>
    </xf>
    <xf numFmtId="0" fontId="0" fillId="0" borderId="0" xfId="0" applyAlignment="1">
      <alignment vertical="center"/>
    </xf>
    <xf numFmtId="0" fontId="0" fillId="0" borderId="0" xfId="0" applyAlignment="1">
      <alignment horizontal="left"/>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wrapText="1"/>
    </xf>
    <xf numFmtId="0" fontId="0" fillId="0" borderId="0" xfId="0" applyAlignment="1"/>
    <xf numFmtId="2" fontId="0" fillId="0" borderId="0" xfId="0" applyNumberFormat="1" applyAlignment="1">
      <alignment horizontal="center"/>
    </xf>
    <xf numFmtId="0" fontId="0" fillId="0" borderId="0" xfId="0" applyAlignment="1">
      <alignment horizontal="center" vertical="center"/>
    </xf>
    <xf numFmtId="0" fontId="4" fillId="0" borderId="0" xfId="0" applyFont="1" applyAlignment="1">
      <alignment horizontal="center" vertical="center" wrapText="1"/>
    </xf>
    <xf numFmtId="0" fontId="0" fillId="6" borderId="1" xfId="0" applyFill="1" applyBorder="1"/>
    <xf numFmtId="0" fontId="0" fillId="6" borderId="1" xfId="0" applyFill="1" applyBorder="1" applyAlignment="1">
      <alignment horizontal="center"/>
    </xf>
    <xf numFmtId="0" fontId="0" fillId="0" borderId="0" xfId="0" applyAlignment="1">
      <alignment horizontal="right"/>
    </xf>
    <xf numFmtId="0" fontId="0" fillId="8" borderId="1" xfId="0" applyFill="1" applyBorder="1" applyAlignment="1">
      <alignment horizontal="center"/>
    </xf>
    <xf numFmtId="165" fontId="0" fillId="6" borderId="1" xfId="2" applyNumberFormat="1" applyFont="1" applyFill="1" applyBorder="1" applyAlignment="1">
      <alignment horizontal="center"/>
    </xf>
    <xf numFmtId="9" fontId="0" fillId="6" borderId="1" xfId="3" applyFont="1" applyFill="1" applyBorder="1" applyAlignment="1">
      <alignment horizontal="center"/>
    </xf>
    <xf numFmtId="0" fontId="0" fillId="0" borderId="0" xfId="0" applyAlignment="1">
      <alignment horizontal="center" vertical="center" wrapText="1"/>
    </xf>
    <xf numFmtId="166" fontId="0" fillId="7" borderId="1" xfId="2" applyNumberFormat="1" applyFont="1" applyFill="1" applyBorder="1"/>
    <xf numFmtId="166" fontId="0" fillId="9" borderId="1" xfId="2" applyNumberFormat="1" applyFont="1" applyFill="1" applyBorder="1"/>
    <xf numFmtId="166" fontId="1" fillId="7" borderId="1" xfId="2" applyNumberFormat="1" applyFont="1" applyFill="1" applyBorder="1"/>
    <xf numFmtId="165" fontId="1" fillId="7" borderId="1" xfId="2" applyNumberFormat="1" applyFont="1" applyFill="1" applyBorder="1" applyAlignment="1">
      <alignment horizontal="center"/>
    </xf>
    <xf numFmtId="9" fontId="1" fillId="7" borderId="1" xfId="3" applyFont="1" applyFill="1" applyBorder="1" applyAlignment="1">
      <alignment horizontal="center"/>
    </xf>
    <xf numFmtId="0" fontId="0" fillId="10" borderId="1" xfId="0" applyFill="1" applyBorder="1"/>
    <xf numFmtId="0" fontId="0" fillId="10" borderId="1" xfId="0" applyFill="1" applyBorder="1" applyAlignment="1">
      <alignment horizontal="center"/>
    </xf>
    <xf numFmtId="166" fontId="0" fillId="6" borderId="1" xfId="2" applyNumberFormat="1" applyFont="1" applyFill="1" applyBorder="1"/>
    <xf numFmtId="166" fontId="0" fillId="10" borderId="1" xfId="2" applyNumberFormat="1" applyFont="1" applyFill="1" applyBorder="1"/>
    <xf numFmtId="165" fontId="0" fillId="10" borderId="1" xfId="2" applyNumberFormat="1" applyFont="1" applyFill="1" applyBorder="1" applyAlignment="1">
      <alignment horizontal="center"/>
    </xf>
    <xf numFmtId="9" fontId="0" fillId="10" borderId="1" xfId="3" applyFont="1" applyFill="1" applyBorder="1" applyAlignment="1">
      <alignment horizontal="center"/>
    </xf>
    <xf numFmtId="165" fontId="0" fillId="5" borderId="1" xfId="2" applyNumberFormat="1" applyFont="1" applyFill="1" applyBorder="1" applyAlignment="1">
      <alignment horizontal="center"/>
    </xf>
    <xf numFmtId="0" fontId="1" fillId="7" borderId="1" xfId="0" applyFont="1" applyFill="1" applyBorder="1"/>
    <xf numFmtId="0" fontId="1" fillId="7" borderId="1" xfId="0" applyFont="1" applyFill="1" applyBorder="1" applyAlignment="1">
      <alignment horizontal="center"/>
    </xf>
    <xf numFmtId="0" fontId="0" fillId="7" borderId="1" xfId="0" applyFill="1" applyBorder="1" applyAlignment="1">
      <alignment horizontal="center"/>
    </xf>
    <xf numFmtId="166" fontId="0" fillId="6" borderId="1" xfId="2" applyNumberFormat="1" applyFont="1" applyFill="1" applyBorder="1" applyAlignment="1">
      <alignment horizontal="center"/>
    </xf>
    <xf numFmtId="167" fontId="0" fillId="6" borderId="1" xfId="2" applyNumberFormat="1" applyFont="1" applyFill="1" applyBorder="1" applyAlignment="1">
      <alignment horizontal="center"/>
    </xf>
    <xf numFmtId="0" fontId="0" fillId="7" borderId="0" xfId="0" applyFill="1" applyAlignment="1">
      <alignment horizontal="center"/>
    </xf>
    <xf numFmtId="164" fontId="0" fillId="7" borderId="1" xfId="0" applyNumberFormat="1" applyFill="1" applyBorder="1" applyAlignment="1">
      <alignment horizontal="center"/>
    </xf>
    <xf numFmtId="0" fontId="0" fillId="0" borderId="1" xfId="0" applyBorder="1"/>
    <xf numFmtId="0" fontId="1" fillId="0" borderId="0" xfId="0" applyFont="1"/>
    <xf numFmtId="0" fontId="6" fillId="0" borderId="0" xfId="0" applyFont="1"/>
    <xf numFmtId="0" fontId="7" fillId="0" borderId="0" xfId="0" applyFont="1"/>
    <xf numFmtId="168" fontId="0" fillId="0" borderId="0" xfId="1" applyNumberFormat="1" applyFont="1"/>
    <xf numFmtId="165" fontId="0" fillId="11" borderId="1" xfId="1" applyNumberFormat="1" applyFont="1" applyFill="1" applyBorder="1" applyAlignment="1">
      <alignment horizontal="center" vertical="center"/>
    </xf>
    <xf numFmtId="165" fontId="0" fillId="0" borderId="1" xfId="1" applyNumberFormat="1" applyFont="1" applyFill="1" applyBorder="1" applyAlignment="1">
      <alignment horizontal="center" vertical="center"/>
    </xf>
    <xf numFmtId="165" fontId="0" fillId="5" borderId="1" xfId="1" applyNumberFormat="1" applyFont="1" applyFill="1" applyBorder="1" applyAlignment="1">
      <alignment horizontal="center" vertical="center"/>
    </xf>
    <xf numFmtId="0" fontId="3" fillId="0" borderId="0" xfId="0" applyFont="1"/>
    <xf numFmtId="0" fontId="0" fillId="5" borderId="1" xfId="0" applyFill="1" applyBorder="1"/>
    <xf numFmtId="0" fontId="1" fillId="0" borderId="0" xfId="0" applyFont="1" applyAlignment="1">
      <alignment horizontal="center"/>
    </xf>
    <xf numFmtId="170" fontId="1" fillId="7" borderId="1" xfId="2" applyNumberFormat="1" applyFont="1" applyFill="1" applyBorder="1" applyAlignment="1">
      <alignment horizontal="center"/>
    </xf>
    <xf numFmtId="0" fontId="1" fillId="9" borderId="1" xfId="0" applyFont="1" applyFill="1" applyBorder="1" applyAlignment="1">
      <alignment horizontal="center"/>
    </xf>
    <xf numFmtId="165" fontId="0" fillId="11" borderId="1" xfId="2" applyNumberFormat="1" applyFont="1" applyFill="1" applyBorder="1" applyAlignment="1">
      <alignment horizontal="center"/>
    </xf>
    <xf numFmtId="166" fontId="0" fillId="7" borderId="6" xfId="2" applyNumberFormat="1" applyFont="1" applyFill="1" applyBorder="1"/>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66" fontId="0" fillId="9" borderId="6" xfId="2" applyNumberFormat="1" applyFont="1" applyFill="1" applyBorder="1"/>
    <xf numFmtId="0" fontId="0" fillId="0" borderId="5" xfId="0" applyBorder="1" applyAlignment="1">
      <alignment horizontal="center" vertical="center"/>
    </xf>
    <xf numFmtId="0" fontId="1" fillId="4" borderId="0" xfId="0" applyFont="1" applyFill="1" applyAlignment="1">
      <alignment horizontal="center" vertical="center"/>
    </xf>
    <xf numFmtId="0" fontId="0" fillId="4" borderId="0" xfId="0" applyFill="1"/>
    <xf numFmtId="0" fontId="0" fillId="4" borderId="0" xfId="0" applyFill="1" applyAlignment="1">
      <alignment horizontal="center" vertical="center"/>
    </xf>
    <xf numFmtId="166" fontId="1" fillId="9" borderId="1" xfId="2" applyNumberFormat="1" applyFont="1" applyFill="1" applyBorder="1"/>
    <xf numFmtId="166" fontId="1" fillId="12" borderId="1" xfId="2" applyNumberFormat="1" applyFont="1" applyFill="1" applyBorder="1"/>
    <xf numFmtId="0" fontId="8" fillId="0" borderId="0" xfId="0" applyFont="1"/>
    <xf numFmtId="0" fontId="1" fillId="0" borderId="0" xfId="0" applyFont="1" applyAlignment="1">
      <alignment horizontal="right"/>
    </xf>
    <xf numFmtId="164" fontId="1" fillId="9" borderId="1" xfId="0" applyNumberFormat="1" applyFont="1" applyFill="1" applyBorder="1" applyAlignment="1">
      <alignment horizontal="center"/>
    </xf>
    <xf numFmtId="168" fontId="1" fillId="9" borderId="1" xfId="1" applyNumberFormat="1" applyFont="1" applyFill="1" applyBorder="1" applyAlignment="1">
      <alignment horizontal="center"/>
    </xf>
    <xf numFmtId="0" fontId="3" fillId="6" borderId="1" xfId="0" applyFont="1" applyFill="1" applyBorder="1" applyAlignment="1">
      <alignment horizontal="center"/>
    </xf>
    <xf numFmtId="166" fontId="0" fillId="0" borderId="1" xfId="2" applyNumberFormat="1" applyFont="1" applyBorder="1" applyAlignment="1">
      <alignment vertical="center"/>
    </xf>
    <xf numFmtId="166" fontId="1" fillId="3" borderId="0" xfId="0" applyNumberFormat="1" applyFont="1" applyFill="1" applyAlignment="1">
      <alignment vertical="center"/>
    </xf>
    <xf numFmtId="166" fontId="0" fillId="0" borderId="0" xfId="0" applyNumberFormat="1"/>
    <xf numFmtId="166" fontId="0" fillId="12" borderId="1" xfId="2" applyNumberFormat="1" applyFont="1" applyFill="1" applyBorder="1"/>
    <xf numFmtId="0" fontId="0" fillId="12" borderId="1" xfId="0" applyFill="1" applyBorder="1" applyAlignment="1">
      <alignment horizontal="center"/>
    </xf>
    <xf numFmtId="0" fontId="0" fillId="0" borderId="1" xfId="0" applyBorder="1" applyAlignment="1">
      <alignment horizontal="center" vertical="center" wrapText="1"/>
    </xf>
    <xf numFmtId="0" fontId="0" fillId="12"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9" fontId="0" fillId="0" borderId="1" xfId="3" applyFont="1" applyBorder="1"/>
    <xf numFmtId="0" fontId="1" fillId="12" borderId="1" xfId="0" applyFont="1" applyFill="1" applyBorder="1" applyAlignment="1">
      <alignment horizontal="center" vertical="center"/>
    </xf>
    <xf numFmtId="0" fontId="1" fillId="0" borderId="1" xfId="0" applyFont="1" applyBorder="1" applyAlignment="1">
      <alignment horizontal="center" vertical="center"/>
    </xf>
    <xf numFmtId="0" fontId="1" fillId="12" borderId="1" xfId="0" applyFont="1" applyFill="1" applyBorder="1" applyAlignment="1">
      <alignment horizontal="center"/>
    </xf>
    <xf numFmtId="0" fontId="1" fillId="0" borderId="1" xfId="0" applyFont="1" applyBorder="1" applyAlignment="1">
      <alignment horizontal="center"/>
    </xf>
    <xf numFmtId="9" fontId="1" fillId="0" borderId="1" xfId="3" applyFont="1" applyBorder="1"/>
    <xf numFmtId="0" fontId="0" fillId="0" borderId="0" xfId="0" applyFill="1" applyAlignment="1">
      <alignment horizontal="center" vertical="center" wrapText="1"/>
    </xf>
    <xf numFmtId="0" fontId="0" fillId="0" borderId="1" xfId="0" applyFill="1" applyBorder="1" applyAlignment="1">
      <alignment horizontal="center"/>
    </xf>
    <xf numFmtId="0" fontId="0" fillId="6" borderId="1" xfId="0" applyFill="1" applyBorder="1" applyAlignment="1">
      <alignment horizontal="center" vertical="center"/>
    </xf>
    <xf numFmtId="168" fontId="0" fillId="10" borderId="1" xfId="1" applyNumberFormat="1" applyFont="1" applyFill="1" applyBorder="1" applyAlignment="1">
      <alignment horizontal="center"/>
    </xf>
    <xf numFmtId="0" fontId="0" fillId="10" borderId="1" xfId="0" applyFill="1" applyBorder="1" applyAlignment="1">
      <alignment horizontal="center" vertical="center"/>
    </xf>
    <xf numFmtId="166" fontId="0" fillId="7" borderId="1" xfId="2" applyNumberFormat="1" applyFont="1" applyFill="1" applyBorder="1" applyAlignment="1">
      <alignment vertical="center"/>
    </xf>
    <xf numFmtId="0" fontId="0" fillId="2" borderId="0" xfId="0" applyFill="1" applyAlignment="1">
      <alignment horizontal="right" vertical="center"/>
    </xf>
    <xf numFmtId="166" fontId="0" fillId="2" borderId="0" xfId="0" applyNumberFormat="1" applyFill="1" applyAlignment="1">
      <alignment horizontal="center" vertical="center"/>
    </xf>
    <xf numFmtId="0" fontId="1" fillId="3" borderId="0" xfId="0" applyFont="1" applyFill="1" applyAlignment="1">
      <alignment horizontal="center" vertical="center"/>
    </xf>
    <xf numFmtId="0" fontId="0" fillId="12" borderId="4" xfId="0" applyFill="1" applyBorder="1" applyAlignment="1">
      <alignment horizontal="center" vertical="center"/>
    </xf>
    <xf numFmtId="0" fontId="1" fillId="0" borderId="6" xfId="0" applyFont="1" applyBorder="1"/>
    <xf numFmtId="0" fontId="0" fillId="0" borderId="2" xfId="0" applyBorder="1" applyAlignment="1">
      <alignment horizontal="center" vertical="center" wrapText="1"/>
    </xf>
    <xf numFmtId="0" fontId="0" fillId="12" borderId="4" xfId="0" applyFill="1" applyBorder="1" applyAlignment="1">
      <alignment horizontal="center" vertical="center" wrapText="1"/>
    </xf>
    <xf numFmtId="0" fontId="0" fillId="0" borderId="10" xfId="0" applyBorder="1" applyAlignment="1">
      <alignment horizontal="center" vertical="center" wrapText="1"/>
    </xf>
    <xf numFmtId="9" fontId="0" fillId="0" borderId="1" xfId="3" applyFont="1" applyFill="1" applyBorder="1" applyAlignment="1">
      <alignment horizontal="center"/>
    </xf>
    <xf numFmtId="9" fontId="1" fillId="9" borderId="1" xfId="3" applyFont="1" applyFill="1" applyBorder="1" applyAlignment="1">
      <alignment horizontal="center"/>
    </xf>
    <xf numFmtId="166" fontId="0" fillId="0" borderId="0" xfId="0" applyNumberFormat="1" applyAlignment="1">
      <alignment horizontal="center" vertical="center"/>
    </xf>
    <xf numFmtId="2" fontId="0" fillId="0" borderId="1" xfId="0" applyNumberFormat="1" applyFill="1" applyBorder="1" applyAlignment="1">
      <alignment horizontal="center"/>
    </xf>
    <xf numFmtId="170" fontId="0" fillId="7" borderId="1" xfId="0" applyNumberFormat="1" applyFill="1" applyBorder="1" applyAlignment="1">
      <alignment horizontal="center"/>
    </xf>
    <xf numFmtId="168" fontId="0" fillId="7" borderId="1" xfId="1" applyNumberFormat="1" applyFont="1" applyFill="1" applyBorder="1" applyAlignment="1">
      <alignment horizontal="center"/>
    </xf>
    <xf numFmtId="166" fontId="1" fillId="0" borderId="0" xfId="0" applyNumberFormat="1" applyFont="1"/>
    <xf numFmtId="0" fontId="0" fillId="3" borderId="0" xfId="0" applyFill="1" applyAlignment="1">
      <alignment horizontal="center" vertical="center"/>
    </xf>
    <xf numFmtId="0" fontId="0" fillId="2" borderId="0" xfId="0" applyFill="1" applyAlignment="1">
      <alignment horizontal="center" vertical="center"/>
    </xf>
    <xf numFmtId="0" fontId="1" fillId="9" borderId="1" xfId="0" applyFont="1" applyFill="1" applyBorder="1" applyAlignment="1">
      <alignment horizontal="center" vertical="center"/>
    </xf>
    <xf numFmtId="168" fontId="0" fillId="10" borderId="1" xfId="1" applyNumberFormat="1" applyFont="1" applyFill="1" applyBorder="1"/>
    <xf numFmtId="0" fontId="11" fillId="0" borderId="0" xfId="0" applyFont="1"/>
    <xf numFmtId="0" fontId="7" fillId="0" borderId="0" xfId="0" applyFont="1" applyAlignment="1">
      <alignment horizontal="center" vertical="center"/>
    </xf>
    <xf numFmtId="0" fontId="12" fillId="0" borderId="0" xfId="0" applyFont="1" applyAlignment="1">
      <alignment horizontal="center" vertical="center" wrapText="1"/>
    </xf>
    <xf numFmtId="9" fontId="0" fillId="7" borderId="1" xfId="3" applyFont="1" applyFill="1" applyBorder="1" applyAlignment="1">
      <alignment horizontal="center"/>
    </xf>
    <xf numFmtId="9" fontId="0" fillId="7" borderId="11" xfId="3" applyFont="1" applyFill="1" applyBorder="1" applyAlignment="1">
      <alignment horizontal="center"/>
    </xf>
    <xf numFmtId="9" fontId="0" fillId="7" borderId="12" xfId="3" applyFont="1" applyFill="1" applyBorder="1" applyAlignment="1">
      <alignment horizontal="center"/>
    </xf>
    <xf numFmtId="169" fontId="0" fillId="7" borderId="1" xfId="0" applyNumberFormat="1" applyFill="1" applyBorder="1" applyAlignment="1">
      <alignment horizontal="center"/>
    </xf>
    <xf numFmtId="9" fontId="0" fillId="11" borderId="1" xfId="0" applyNumberFormat="1" applyFill="1" applyBorder="1" applyAlignment="1">
      <alignment horizontal="center" vertical="center"/>
    </xf>
    <xf numFmtId="164" fontId="0" fillId="0" borderId="1" xfId="0" applyNumberFormat="1" applyFill="1" applyBorder="1" applyAlignment="1">
      <alignment horizontal="center"/>
    </xf>
    <xf numFmtId="0" fontId="0" fillId="0" borderId="0" xfId="0" quotePrefix="1" applyAlignment="1">
      <alignment horizontal="left" vertical="center"/>
    </xf>
    <xf numFmtId="171" fontId="1" fillId="9" borderId="1" xfId="0" applyNumberFormat="1" applyFont="1" applyFill="1" applyBorder="1" applyAlignment="1">
      <alignment horizontal="center"/>
    </xf>
    <xf numFmtId="165" fontId="1" fillId="0" borderId="1" xfId="1" applyNumberFormat="1" applyFont="1" applyFill="1" applyBorder="1" applyAlignment="1">
      <alignment horizontal="center" vertical="center"/>
    </xf>
    <xf numFmtId="164" fontId="1" fillId="0" borderId="1" xfId="0" applyNumberFormat="1" applyFont="1" applyFill="1" applyBorder="1" applyAlignment="1">
      <alignment horizontal="center"/>
    </xf>
    <xf numFmtId="165" fontId="0" fillId="0" borderId="1" xfId="0" applyNumberFormat="1" applyFill="1" applyBorder="1"/>
    <xf numFmtId="0" fontId="0" fillId="7" borderId="0" xfId="0" applyFill="1" applyAlignment="1">
      <alignment horizontal="right"/>
    </xf>
    <xf numFmtId="168" fontId="0" fillId="7" borderId="0" xfId="1" applyNumberFormat="1" applyFont="1" applyFill="1" applyAlignment="1">
      <alignment horizontal="center"/>
    </xf>
    <xf numFmtId="166" fontId="3" fillId="0" borderId="1" xfId="2" applyNumberFormat="1" applyFont="1" applyBorder="1" applyAlignment="1">
      <alignment vertical="center"/>
    </xf>
    <xf numFmtId="9" fontId="0" fillId="0" borderId="0" xfId="3" applyFont="1"/>
    <xf numFmtId="169" fontId="1" fillId="0" borderId="1" xfId="1" applyNumberFormat="1" applyFont="1" applyFill="1" applyBorder="1" applyAlignment="1">
      <alignment horizontal="center" vertical="center"/>
    </xf>
    <xf numFmtId="166" fontId="0" fillId="5" borderId="1" xfId="2" applyNumberFormat="1" applyFont="1" applyFill="1" applyBorder="1"/>
    <xf numFmtId="9" fontId="0" fillId="5" borderId="1" xfId="3" applyFont="1" applyFill="1" applyBorder="1" applyAlignment="1">
      <alignment horizontal="center"/>
    </xf>
    <xf numFmtId="0" fontId="0" fillId="5" borderId="1" xfId="0" applyFill="1" applyBorder="1" applyAlignment="1">
      <alignment horizontal="center" vertical="center"/>
    </xf>
    <xf numFmtId="0" fontId="13" fillId="0" borderId="0" xfId="4"/>
    <xf numFmtId="0" fontId="14" fillId="0" borderId="0" xfId="0" applyFont="1" applyAlignment="1">
      <alignment horizontal="center" vertical="center" wrapText="1"/>
    </xf>
    <xf numFmtId="0" fontId="1" fillId="6" borderId="1" xfId="0" applyFont="1" applyFill="1" applyBorder="1" applyAlignment="1">
      <alignment horizontal="center" vertical="center"/>
    </xf>
    <xf numFmtId="170" fontId="0" fillId="6" borderId="1" xfId="2" applyNumberFormat="1" applyFont="1" applyFill="1" applyBorder="1" applyAlignment="1">
      <alignment horizontal="center"/>
    </xf>
    <xf numFmtId="0" fontId="1" fillId="12" borderId="0" xfId="0" applyFont="1" applyFill="1" applyAlignment="1">
      <alignment horizontal="center" vertical="center" wrapText="1"/>
    </xf>
    <xf numFmtId="165" fontId="1" fillId="12" borderId="1" xfId="1" applyNumberFormat="1" applyFont="1" applyFill="1" applyBorder="1" applyAlignment="1">
      <alignment horizontal="center" vertical="center"/>
    </xf>
    <xf numFmtId="0" fontId="0" fillId="12" borderId="1" xfId="0" applyFill="1" applyBorder="1"/>
    <xf numFmtId="170" fontId="0" fillId="5" borderId="1" xfId="2" applyNumberFormat="1" applyFont="1" applyFill="1" applyBorder="1" applyAlignment="1">
      <alignment horizontal="center"/>
    </xf>
    <xf numFmtId="9" fontId="3" fillId="6" borderId="1" xfId="3" applyFont="1" applyFill="1" applyBorder="1" applyAlignment="1">
      <alignment horizontal="center"/>
    </xf>
    <xf numFmtId="0" fontId="3" fillId="6" borderId="1" xfId="0" applyFont="1" applyFill="1" applyBorder="1" applyAlignment="1">
      <alignment horizontal="center" vertical="center"/>
    </xf>
    <xf numFmtId="165" fontId="0" fillId="10" borderId="1" xfId="0" applyNumberFormat="1" applyFill="1" applyBorder="1" applyAlignment="1">
      <alignment horizontal="center"/>
    </xf>
    <xf numFmtId="166" fontId="8" fillId="0" borderId="1" xfId="2" applyNumberFormat="1" applyFont="1" applyBorder="1" applyAlignment="1">
      <alignment vertical="center"/>
    </xf>
    <xf numFmtId="166" fontId="15" fillId="0" borderId="0" xfId="0" applyNumberFormat="1" applyFont="1" applyAlignment="1">
      <alignment horizontal="center" vertical="center"/>
    </xf>
    <xf numFmtId="0" fontId="0" fillId="0" borderId="0" xfId="0" applyAlignment="1">
      <alignment horizontal="right" vertical="center"/>
    </xf>
    <xf numFmtId="0" fontId="0" fillId="12" borderId="2" xfId="0" applyFill="1" applyBorder="1" applyAlignment="1">
      <alignment horizontal="center" vertical="center" wrapText="1"/>
    </xf>
    <xf numFmtId="0" fontId="0" fillId="12" borderId="2" xfId="0" applyFill="1" applyBorder="1" applyAlignment="1">
      <alignment horizontal="center" vertical="center"/>
    </xf>
    <xf numFmtId="0" fontId="0" fillId="0" borderId="6" xfId="0" applyBorder="1" applyAlignment="1">
      <alignment horizontal="center" vertical="center"/>
    </xf>
    <xf numFmtId="0" fontId="0" fillId="7" borderId="6" xfId="0"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165" fontId="1" fillId="11" borderId="1" xfId="1" applyNumberFormat="1" applyFont="1" applyFill="1" applyBorder="1" applyAlignment="1">
      <alignment horizontal="center" vertical="center"/>
    </xf>
    <xf numFmtId="168" fontId="0" fillId="6" borderId="1" xfId="1" applyNumberFormat="1" applyFont="1" applyFill="1" applyBorder="1"/>
    <xf numFmtId="9" fontId="0" fillId="6" borderId="1" xfId="0" applyNumberFormat="1" applyFill="1" applyBorder="1" applyAlignment="1">
      <alignment horizontal="center" vertical="center"/>
    </xf>
    <xf numFmtId="0" fontId="0" fillId="9" borderId="0" xfId="0" applyFill="1" applyAlignment="1">
      <alignment horizontal="center"/>
    </xf>
    <xf numFmtId="9" fontId="0" fillId="2" borderId="0" xfId="3" applyFont="1" applyFill="1" applyAlignment="1">
      <alignment horizontal="center" vertical="center"/>
    </xf>
    <xf numFmtId="0" fontId="1" fillId="6" borderId="1" xfId="0" applyFont="1" applyFill="1" applyBorder="1" applyAlignment="1">
      <alignment horizontal="center"/>
    </xf>
    <xf numFmtId="9" fontId="0" fillId="0" borderId="0" xfId="0" applyNumberFormat="1" applyAlignment="1">
      <alignment horizontal="center" vertical="center"/>
    </xf>
    <xf numFmtId="0" fontId="0" fillId="0" borderId="7" xfId="0" applyBorder="1" applyAlignment="1">
      <alignment horizontal="right"/>
    </xf>
    <xf numFmtId="0" fontId="1" fillId="4" borderId="0" xfId="0" applyFont="1" applyFill="1" applyAlignment="1">
      <alignment horizontal="center"/>
    </xf>
    <xf numFmtId="0" fontId="0" fillId="4" borderId="0" xfId="0" applyFill="1" applyAlignment="1">
      <alignment horizontal="center"/>
    </xf>
    <xf numFmtId="166" fontId="0" fillId="5" borderId="1" xfId="2" applyNumberFormat="1" applyFont="1" applyFill="1" applyBorder="1" applyAlignment="1">
      <alignment vertical="center"/>
    </xf>
    <xf numFmtId="0" fontId="0" fillId="5" borderId="1" xfId="0" applyFill="1" applyBorder="1" applyAlignment="1">
      <alignment vertical="center"/>
    </xf>
    <xf numFmtId="165" fontId="0" fillId="5" borderId="1" xfId="2" applyNumberFormat="1" applyFont="1" applyFill="1" applyBorder="1" applyAlignment="1">
      <alignment horizontal="center" vertical="center"/>
    </xf>
    <xf numFmtId="0" fontId="0" fillId="8" borderId="1" xfId="0" applyFill="1" applyBorder="1" applyAlignment="1">
      <alignment horizontal="center" vertical="center"/>
    </xf>
    <xf numFmtId="0" fontId="0" fillId="5" borderId="1" xfId="0" applyFill="1" applyBorder="1" applyAlignment="1">
      <alignment horizontal="left" vertical="center"/>
    </xf>
    <xf numFmtId="170" fontId="0" fillId="5" borderId="1" xfId="2" applyNumberFormat="1" applyFont="1" applyFill="1" applyBorder="1" applyAlignment="1">
      <alignment horizontal="center" vertical="center"/>
    </xf>
    <xf numFmtId="0" fontId="0" fillId="4" borderId="0" xfId="0" applyFill="1" applyAlignment="1">
      <alignment vertical="center"/>
    </xf>
    <xf numFmtId="0" fontId="0" fillId="0" borderId="0" xfId="0" applyFont="1" applyAlignment="1">
      <alignment horizontal="center" vertical="center"/>
    </xf>
    <xf numFmtId="0" fontId="0" fillId="0" borderId="0" xfId="0" applyAlignment="1">
      <alignment wrapText="1"/>
    </xf>
    <xf numFmtId="2" fontId="0" fillId="5" borderId="1" xfId="0" applyNumberFormat="1" applyFill="1" applyBorder="1" applyAlignment="1">
      <alignment horizontal="center" vertical="center"/>
    </xf>
    <xf numFmtId="0" fontId="16" fillId="0" borderId="0" xfId="0" applyFont="1" applyAlignment="1">
      <alignment horizontal="center" vertical="center"/>
    </xf>
    <xf numFmtId="6" fontId="0" fillId="0" borderId="0" xfId="0" applyNumberFormat="1" applyAlignment="1">
      <alignment horizontal="left" vertical="center"/>
    </xf>
    <xf numFmtId="0" fontId="16" fillId="0" borderId="0" xfId="0" applyFont="1" applyAlignment="1">
      <alignment vertical="center"/>
    </xf>
    <xf numFmtId="0" fontId="0" fillId="0" borderId="0" xfId="0" applyAlignment="1">
      <alignment horizontal="left" vertical="center"/>
    </xf>
    <xf numFmtId="0" fontId="13" fillId="0" borderId="0" xfId="4" applyAlignment="1">
      <alignment horizontal="left" vertical="center"/>
    </xf>
    <xf numFmtId="9" fontId="1" fillId="0" borderId="0" xfId="3" applyNumberFormat="1" applyFont="1" applyAlignment="1">
      <alignment horizontal="center"/>
    </xf>
    <xf numFmtId="0" fontId="7" fillId="0" borderId="0" xfId="0" applyFont="1" applyAlignment="1">
      <alignment vertical="center"/>
    </xf>
    <xf numFmtId="0" fontId="13" fillId="5" borderId="2" xfId="4" applyFill="1" applyBorder="1" applyAlignment="1">
      <alignment horizontal="left" vertical="center"/>
    </xf>
    <xf numFmtId="0" fontId="13" fillId="5" borderId="3" xfId="4" applyFill="1" applyBorder="1" applyAlignment="1">
      <alignment horizontal="left" vertical="center"/>
    </xf>
    <xf numFmtId="0" fontId="13" fillId="5" borderId="4" xfId="4" applyFill="1" applyBorder="1" applyAlignment="1">
      <alignment horizontal="left" vertical="center"/>
    </xf>
    <xf numFmtId="0" fontId="0" fillId="0" borderId="21" xfId="0" applyBorder="1" applyAlignment="1">
      <alignment horizontal="left" vertical="center"/>
    </xf>
    <xf numFmtId="0" fontId="0" fillId="0" borderId="0" xfId="0" applyFill="1" applyBorder="1"/>
    <xf numFmtId="0" fontId="0" fillId="7" borderId="1" xfId="0" applyFill="1" applyBorder="1" applyAlignment="1">
      <alignment horizontal="center" vertical="center"/>
    </xf>
    <xf numFmtId="9" fontId="0" fillId="5" borderId="1" xfId="3" applyFont="1" applyFill="1" applyBorder="1" applyAlignment="1">
      <alignment horizontal="center" vertical="center"/>
    </xf>
    <xf numFmtId="9" fontId="0" fillId="5" borderId="1" xfId="0" applyNumberFormat="1" applyFill="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1" fillId="5" borderId="0" xfId="0" applyFont="1" applyFill="1" applyAlignment="1">
      <alignment horizontal="center"/>
    </xf>
    <xf numFmtId="0" fontId="9" fillId="4" borderId="0" xfId="0" applyFont="1" applyFill="1" applyAlignment="1">
      <alignment horizontal="center" vertical="center" textRotation="255"/>
    </xf>
    <xf numFmtId="0" fontId="10" fillId="0" borderId="0" xfId="0" applyFont="1" applyAlignment="1">
      <alignment horizontal="center" vertical="center" wrapText="1"/>
    </xf>
    <xf numFmtId="165" fontId="0" fillId="0" borderId="2" xfId="2" applyNumberFormat="1" applyFont="1" applyBorder="1" applyAlignment="1">
      <alignment horizontal="center" vertical="center"/>
    </xf>
    <xf numFmtId="165" fontId="0" fillId="0" borderId="3" xfId="2" applyNumberFormat="1" applyFont="1" applyBorder="1" applyAlignment="1">
      <alignment horizontal="center" vertical="center"/>
    </xf>
    <xf numFmtId="165" fontId="0" fillId="0" borderId="4" xfId="2" applyNumberFormat="1" applyFont="1" applyBorder="1" applyAlignment="1">
      <alignment horizontal="center" vertical="center"/>
    </xf>
    <xf numFmtId="0" fontId="13" fillId="0" borderId="0" xfId="4" applyAlignment="1">
      <alignment horizontal="left" vertical="center"/>
    </xf>
    <xf numFmtId="0" fontId="0" fillId="0" borderId="0" xfId="0" applyAlignment="1">
      <alignment horizontal="left" vertical="center"/>
    </xf>
    <xf numFmtId="0" fontId="13" fillId="5" borderId="1" xfId="4" applyFill="1" applyBorder="1" applyAlignment="1">
      <alignment horizontal="left" vertical="center"/>
    </xf>
    <xf numFmtId="0" fontId="4" fillId="0" borderId="0" xfId="0" applyFont="1" applyAlignment="1">
      <alignment horizontal="left" vertical="center" wrapText="1"/>
    </xf>
    <xf numFmtId="172" fontId="0" fillId="0" borderId="0" xfId="0" applyNumberFormat="1"/>
    <xf numFmtId="0" fontId="0" fillId="0" borderId="0" xfId="0" applyAlignment="1">
      <alignment horizontal="left"/>
    </xf>
  </cellXfs>
  <cellStyles count="5">
    <cellStyle name="Collegamento ipertestuale" xfId="4" builtinId="8"/>
    <cellStyle name="Migliaia" xfId="1" builtinId="3"/>
    <cellStyle name="Normale" xfId="0" builtinId="0"/>
    <cellStyle name="Percentuale" xfId="3" builtinId="5"/>
    <cellStyle name="Valuta" xfId="2" builtinId="4"/>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 year TCO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stacked"/>
        <c:varyColors val="0"/>
        <c:ser>
          <c:idx val="0"/>
          <c:order val="0"/>
          <c:tx>
            <c:strRef>
              <c:f>'TCO comparison'!$B$15</c:f>
              <c:strCache>
                <c:ptCount val="1"/>
                <c:pt idx="0">
                  <c:v>Hardware</c:v>
                </c:pt>
              </c:strCache>
            </c:strRef>
          </c:tx>
          <c:spPr>
            <a:solidFill>
              <a:schemeClr val="accent5">
                <a:lumMod val="75000"/>
              </a:schemeClr>
            </a:solidFill>
            <a:ln>
              <a:noFill/>
            </a:ln>
            <a:effectLst/>
          </c:spPr>
          <c:invertIfNegative val="0"/>
          <c:cat>
            <c:strRef>
              <c:f>'TCO comparison'!$A$16:$A$17</c:f>
              <c:strCache>
                <c:ptCount val="2"/>
                <c:pt idx="0">
                  <c:v>x86</c:v>
                </c:pt>
                <c:pt idx="1">
                  <c:v>LinuxONE</c:v>
                </c:pt>
              </c:strCache>
            </c:strRef>
          </c:cat>
          <c:val>
            <c:numRef>
              <c:f>'TCO comparison'!$B$16:$B$17</c:f>
              <c:numCache>
                <c:formatCode>_-* #,##0\ _€_-;\-* #,##0\ _€_-;_-* "-"\ _€_-;_-@_-</c:formatCode>
                <c:ptCount val="2"/>
                <c:pt idx="0">
                  <c:v>403200</c:v>
                </c:pt>
                <c:pt idx="1">
                  <c:v>5544000</c:v>
                </c:pt>
              </c:numCache>
            </c:numRef>
          </c:val>
          <c:extLst>
            <c:ext xmlns:c16="http://schemas.microsoft.com/office/drawing/2014/chart" uri="{C3380CC4-5D6E-409C-BE32-E72D297353CC}">
              <c16:uniqueId val="{00000000-3F15-4827-A934-9FCEF8D7ECF7}"/>
            </c:ext>
          </c:extLst>
        </c:ser>
        <c:ser>
          <c:idx val="1"/>
          <c:order val="1"/>
          <c:tx>
            <c:strRef>
              <c:f>'TCO comparison'!$C$15</c:f>
              <c:strCache>
                <c:ptCount val="1"/>
                <c:pt idx="0">
                  <c:v>Software</c:v>
                </c:pt>
              </c:strCache>
            </c:strRef>
          </c:tx>
          <c:spPr>
            <a:solidFill>
              <a:schemeClr val="accent1">
                <a:lumMod val="40000"/>
                <a:lumOff val="60000"/>
              </a:schemeClr>
            </a:solidFill>
            <a:ln>
              <a:noFill/>
            </a:ln>
            <a:effectLst/>
          </c:spPr>
          <c:invertIfNegative val="0"/>
          <c:cat>
            <c:strRef>
              <c:f>'TCO comparison'!$A$16:$A$17</c:f>
              <c:strCache>
                <c:ptCount val="2"/>
                <c:pt idx="0">
                  <c:v>x86</c:v>
                </c:pt>
                <c:pt idx="1">
                  <c:v>LinuxONE</c:v>
                </c:pt>
              </c:strCache>
            </c:strRef>
          </c:cat>
          <c:val>
            <c:numRef>
              <c:f>'TCO comparison'!$C$16:$C$17</c:f>
              <c:numCache>
                <c:formatCode>_-* #,##0\ _€_-;\-* #,##0\ _€_-;_-* "-"\ _€_-;_-@_-</c:formatCode>
                <c:ptCount val="2"/>
                <c:pt idx="0">
                  <c:v>7836552</c:v>
                </c:pt>
                <c:pt idx="1">
                  <c:v>4493272</c:v>
                </c:pt>
              </c:numCache>
            </c:numRef>
          </c:val>
          <c:extLst>
            <c:ext xmlns:c16="http://schemas.microsoft.com/office/drawing/2014/chart" uri="{C3380CC4-5D6E-409C-BE32-E72D297353CC}">
              <c16:uniqueId val="{00000001-3F15-4827-A934-9FCEF8D7ECF7}"/>
            </c:ext>
          </c:extLst>
        </c:ser>
        <c:ser>
          <c:idx val="2"/>
          <c:order val="2"/>
          <c:tx>
            <c:strRef>
              <c:f>'TCO comparison'!$D$15</c:f>
              <c:strCache>
                <c:ptCount val="1"/>
                <c:pt idx="0">
                  <c:v>People</c:v>
                </c:pt>
              </c:strCache>
            </c:strRef>
          </c:tx>
          <c:spPr>
            <a:solidFill>
              <a:srgbClr val="7030A0"/>
            </a:solidFill>
            <a:ln>
              <a:noFill/>
            </a:ln>
            <a:effectLst/>
          </c:spPr>
          <c:invertIfNegative val="0"/>
          <c:cat>
            <c:strRef>
              <c:f>'TCO comparison'!$A$16:$A$17</c:f>
              <c:strCache>
                <c:ptCount val="2"/>
                <c:pt idx="0">
                  <c:v>x86</c:v>
                </c:pt>
                <c:pt idx="1">
                  <c:v>LinuxONE</c:v>
                </c:pt>
              </c:strCache>
            </c:strRef>
          </c:cat>
          <c:val>
            <c:numRef>
              <c:f>'TCO comparison'!$D$16:$D$17</c:f>
              <c:numCache>
                <c:formatCode>_-* #,##0\ _€_-;\-* #,##0\ _€_-;_-* "-"\ _€_-;_-@_-</c:formatCode>
                <c:ptCount val="2"/>
                <c:pt idx="0">
                  <c:v>1000000</c:v>
                </c:pt>
                <c:pt idx="1">
                  <c:v>100000</c:v>
                </c:pt>
              </c:numCache>
            </c:numRef>
          </c:val>
          <c:extLst>
            <c:ext xmlns:c16="http://schemas.microsoft.com/office/drawing/2014/chart" uri="{C3380CC4-5D6E-409C-BE32-E72D297353CC}">
              <c16:uniqueId val="{00000003-3F15-4827-A934-9FCEF8D7ECF7}"/>
            </c:ext>
          </c:extLst>
        </c:ser>
        <c:ser>
          <c:idx val="3"/>
          <c:order val="3"/>
          <c:tx>
            <c:strRef>
              <c:f>'TCO comparison'!$E$15</c:f>
              <c:strCache>
                <c:ptCount val="1"/>
                <c:pt idx="0">
                  <c:v>Network</c:v>
                </c:pt>
              </c:strCache>
            </c:strRef>
          </c:tx>
          <c:spPr>
            <a:solidFill>
              <a:srgbClr val="FFC000"/>
            </a:solidFill>
            <a:ln>
              <a:noFill/>
            </a:ln>
            <a:effectLst/>
          </c:spPr>
          <c:invertIfNegative val="0"/>
          <c:cat>
            <c:strRef>
              <c:f>'TCO comparison'!$A$16:$A$17</c:f>
              <c:strCache>
                <c:ptCount val="2"/>
                <c:pt idx="0">
                  <c:v>x86</c:v>
                </c:pt>
                <c:pt idx="1">
                  <c:v>LinuxONE</c:v>
                </c:pt>
              </c:strCache>
            </c:strRef>
          </c:cat>
          <c:val>
            <c:numRef>
              <c:f>'TCO comparison'!$E$16:$E$17</c:f>
              <c:numCache>
                <c:formatCode>_-* #,##0\ _€_-;\-* #,##0\ _€_-;_-* "-"\ _€_-;_-@_-</c:formatCode>
                <c:ptCount val="2"/>
                <c:pt idx="0">
                  <c:v>0</c:v>
                </c:pt>
                <c:pt idx="1">
                  <c:v>0</c:v>
                </c:pt>
              </c:numCache>
            </c:numRef>
          </c:val>
          <c:extLst>
            <c:ext xmlns:c16="http://schemas.microsoft.com/office/drawing/2014/chart" uri="{C3380CC4-5D6E-409C-BE32-E72D297353CC}">
              <c16:uniqueId val="{00000004-3F15-4827-A934-9FCEF8D7ECF7}"/>
            </c:ext>
          </c:extLst>
        </c:ser>
        <c:ser>
          <c:idx val="4"/>
          <c:order val="4"/>
          <c:tx>
            <c:strRef>
              <c:f>'TCO comparison'!$F$15</c:f>
              <c:strCache>
                <c:ptCount val="1"/>
                <c:pt idx="0">
                  <c:v>Facilities</c:v>
                </c:pt>
              </c:strCache>
            </c:strRef>
          </c:tx>
          <c:spPr>
            <a:solidFill>
              <a:srgbClr val="00B050"/>
            </a:solidFill>
            <a:ln>
              <a:noFill/>
            </a:ln>
            <a:effectLst/>
          </c:spPr>
          <c:invertIfNegative val="0"/>
          <c:cat>
            <c:strRef>
              <c:f>'TCO comparison'!$A$16:$A$17</c:f>
              <c:strCache>
                <c:ptCount val="2"/>
                <c:pt idx="0">
                  <c:v>x86</c:v>
                </c:pt>
                <c:pt idx="1">
                  <c:v>LinuxONE</c:v>
                </c:pt>
              </c:strCache>
            </c:strRef>
          </c:cat>
          <c:val>
            <c:numRef>
              <c:f>'TCO comparison'!$F$16:$F$17</c:f>
              <c:numCache>
                <c:formatCode>_-* #,##0\ _€_-;\-* #,##0\ _€_-;_-* "-"\ _€_-;_-@_-</c:formatCode>
                <c:ptCount val="2"/>
                <c:pt idx="0">
                  <c:v>0</c:v>
                </c:pt>
                <c:pt idx="1">
                  <c:v>0</c:v>
                </c:pt>
              </c:numCache>
            </c:numRef>
          </c:val>
          <c:extLst>
            <c:ext xmlns:c16="http://schemas.microsoft.com/office/drawing/2014/chart" uri="{C3380CC4-5D6E-409C-BE32-E72D297353CC}">
              <c16:uniqueId val="{00000005-3F15-4827-A934-9FCEF8D7ECF7}"/>
            </c:ext>
          </c:extLst>
        </c:ser>
        <c:ser>
          <c:idx val="5"/>
          <c:order val="5"/>
          <c:tx>
            <c:strRef>
              <c:f>'TCO comparison'!$G$15</c:f>
              <c:strCache>
                <c:ptCount val="1"/>
                <c:pt idx="0">
                  <c:v>DR</c:v>
                </c:pt>
              </c:strCache>
            </c:strRef>
          </c:tx>
          <c:spPr>
            <a:solidFill>
              <a:srgbClr val="FF0000"/>
            </a:solidFill>
            <a:ln>
              <a:noFill/>
            </a:ln>
            <a:effectLst/>
          </c:spPr>
          <c:invertIfNegative val="0"/>
          <c:cat>
            <c:strRef>
              <c:f>'TCO comparison'!$A$16:$A$17</c:f>
              <c:strCache>
                <c:ptCount val="2"/>
                <c:pt idx="0">
                  <c:v>x86</c:v>
                </c:pt>
                <c:pt idx="1">
                  <c:v>LinuxONE</c:v>
                </c:pt>
              </c:strCache>
            </c:strRef>
          </c:cat>
          <c:val>
            <c:numRef>
              <c:f>'TCO comparison'!$G$16:$G$17</c:f>
              <c:numCache>
                <c:formatCode>_-* #,##0\ _€_-;\-* #,##0\ _€_-;_-* "-"\ _€_-;_-@_-</c:formatCode>
                <c:ptCount val="2"/>
                <c:pt idx="0">
                  <c:v>5932974.5599999996</c:v>
                </c:pt>
                <c:pt idx="1">
                  <c:v>336000</c:v>
                </c:pt>
              </c:numCache>
            </c:numRef>
          </c:val>
          <c:extLst>
            <c:ext xmlns:c16="http://schemas.microsoft.com/office/drawing/2014/chart" uri="{C3380CC4-5D6E-409C-BE32-E72D297353CC}">
              <c16:uniqueId val="{00000006-3F15-4827-A934-9FCEF8D7ECF7}"/>
            </c:ext>
          </c:extLst>
        </c:ser>
        <c:dLbls>
          <c:showLegendKey val="0"/>
          <c:showVal val="0"/>
          <c:showCatName val="0"/>
          <c:showSerName val="0"/>
          <c:showPercent val="0"/>
          <c:showBubbleSize val="0"/>
        </c:dLbls>
        <c:gapWidth val="150"/>
        <c:overlap val="100"/>
        <c:axId val="144266815"/>
        <c:axId val="263497871"/>
      </c:barChart>
      <c:catAx>
        <c:axId val="14426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63497871"/>
        <c:crosses val="autoZero"/>
        <c:auto val="1"/>
        <c:lblAlgn val="ctr"/>
        <c:lblOffset val="100"/>
        <c:noMultiLvlLbl val="0"/>
      </c:catAx>
      <c:valAx>
        <c:axId val="263497871"/>
        <c:scaling>
          <c:orientation val="minMax"/>
        </c:scaling>
        <c:delete val="0"/>
        <c:axPos val="l"/>
        <c:majorGridlines>
          <c:spPr>
            <a:ln w="9525" cap="flat" cmpd="sng" algn="ctr">
              <a:solidFill>
                <a:schemeClr val="tx1">
                  <a:lumMod val="15000"/>
                  <a:lumOff val="85000"/>
                </a:schemeClr>
              </a:solidFill>
              <a:round/>
            </a:ln>
            <a:effectLst/>
          </c:spPr>
        </c:majorGridlines>
        <c:numFmt formatCode="_-* #,##0\ _€_-;\-* #,##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426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Accumulated TCO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strRef>
              <c:f>'TCO comparison'!$B$20</c:f>
              <c:strCache>
                <c:ptCount val="1"/>
                <c:pt idx="0">
                  <c:v>x86</c:v>
                </c:pt>
              </c:strCache>
            </c:strRef>
          </c:tx>
          <c:spPr>
            <a:ln w="28575" cap="rnd">
              <a:solidFill>
                <a:srgbClr val="FF0000"/>
              </a:solidFill>
              <a:round/>
            </a:ln>
            <a:effectLst/>
          </c:spPr>
          <c:marker>
            <c:symbol val="diamond"/>
            <c:size val="5"/>
            <c:spPr>
              <a:solidFill>
                <a:srgbClr val="FF0000"/>
              </a:solidFill>
              <a:ln w="9525">
                <a:solidFill>
                  <a:srgbClr val="C00000"/>
                </a:solidFill>
              </a:ln>
              <a:effectLst/>
            </c:spPr>
          </c:marker>
          <c:cat>
            <c:strRef>
              <c:f>'TCO comparison'!$C$19:$G$19</c:f>
              <c:strCache>
                <c:ptCount val="5"/>
                <c:pt idx="0">
                  <c:v>Year 1</c:v>
                </c:pt>
                <c:pt idx="1">
                  <c:v>Year 2</c:v>
                </c:pt>
                <c:pt idx="2">
                  <c:v>Year 3</c:v>
                </c:pt>
                <c:pt idx="3">
                  <c:v>Year 4</c:v>
                </c:pt>
                <c:pt idx="4">
                  <c:v>Year 5</c:v>
                </c:pt>
              </c:strCache>
            </c:strRef>
          </c:cat>
          <c:val>
            <c:numRef>
              <c:f>'TCO comparison'!$C$20:$G$20</c:f>
              <c:numCache>
                <c:formatCode>_-* #,##0\ _€_-;\-* #,##0\ _€_-;_-* "-"\ _€_-;_-@_-</c:formatCode>
                <c:ptCount val="5"/>
                <c:pt idx="0">
                  <c:v>5518980.1600000001</c:v>
                </c:pt>
                <c:pt idx="1">
                  <c:v>8048040.3200000003</c:v>
                </c:pt>
                <c:pt idx="2">
                  <c:v>10577100.48</c:v>
                </c:pt>
                <c:pt idx="3">
                  <c:v>13202160.640000001</c:v>
                </c:pt>
                <c:pt idx="4">
                  <c:v>15827220.800000001</c:v>
                </c:pt>
              </c:numCache>
            </c:numRef>
          </c:val>
          <c:smooth val="0"/>
          <c:extLst>
            <c:ext xmlns:c16="http://schemas.microsoft.com/office/drawing/2014/chart" uri="{C3380CC4-5D6E-409C-BE32-E72D297353CC}">
              <c16:uniqueId val="{00000000-80DC-41C2-932E-F13F74710793}"/>
            </c:ext>
          </c:extLst>
        </c:ser>
        <c:ser>
          <c:idx val="1"/>
          <c:order val="1"/>
          <c:tx>
            <c:strRef>
              <c:f>'TCO comparison'!$B$21</c:f>
              <c:strCache>
                <c:ptCount val="1"/>
                <c:pt idx="0">
                  <c:v>LinuxONE</c:v>
                </c:pt>
              </c:strCache>
            </c:strRef>
          </c:tx>
          <c:spPr>
            <a:ln w="28575" cap="rnd">
              <a:solidFill>
                <a:srgbClr val="0070C0"/>
              </a:solidFill>
              <a:round/>
            </a:ln>
            <a:effectLst/>
          </c:spPr>
          <c:marker>
            <c:symbol val="circle"/>
            <c:size val="5"/>
            <c:spPr>
              <a:solidFill>
                <a:srgbClr val="0070C0"/>
              </a:solidFill>
              <a:ln w="9525">
                <a:solidFill>
                  <a:srgbClr val="002060"/>
                </a:solidFill>
              </a:ln>
              <a:effectLst/>
            </c:spPr>
          </c:marker>
          <c:cat>
            <c:strRef>
              <c:f>'TCO comparison'!$C$19:$G$19</c:f>
              <c:strCache>
                <c:ptCount val="5"/>
                <c:pt idx="0">
                  <c:v>Year 1</c:v>
                </c:pt>
                <c:pt idx="1">
                  <c:v>Year 2</c:v>
                </c:pt>
                <c:pt idx="2">
                  <c:v>Year 3</c:v>
                </c:pt>
                <c:pt idx="3">
                  <c:v>Year 4</c:v>
                </c:pt>
                <c:pt idx="4">
                  <c:v>Year 5</c:v>
                </c:pt>
              </c:strCache>
            </c:strRef>
          </c:cat>
          <c:val>
            <c:numRef>
              <c:f>'TCO comparison'!$C$21:$G$21</c:f>
              <c:numCache>
                <c:formatCode>_-* #,##0\ _€_-;\-* #,##0\ _€_-;_-* "-"\ _€_-;_-@_-</c:formatCode>
                <c:ptCount val="5"/>
                <c:pt idx="0">
                  <c:v>6088677.5578947365</c:v>
                </c:pt>
                <c:pt idx="1">
                  <c:v>6980403.1157894731</c:v>
                </c:pt>
                <c:pt idx="2">
                  <c:v>7872128.6736842096</c:v>
                </c:pt>
                <c:pt idx="3">
                  <c:v>9253854.2315789461</c:v>
                </c:pt>
                <c:pt idx="4">
                  <c:v>10635579.789473683</c:v>
                </c:pt>
              </c:numCache>
            </c:numRef>
          </c:val>
          <c:smooth val="0"/>
          <c:extLst>
            <c:ext xmlns:c16="http://schemas.microsoft.com/office/drawing/2014/chart" uri="{C3380CC4-5D6E-409C-BE32-E72D297353CC}">
              <c16:uniqueId val="{00000001-80DC-41C2-932E-F13F74710793}"/>
            </c:ext>
          </c:extLst>
        </c:ser>
        <c:dLbls>
          <c:showLegendKey val="0"/>
          <c:showVal val="0"/>
          <c:showCatName val="0"/>
          <c:showSerName val="0"/>
          <c:showPercent val="0"/>
          <c:showBubbleSize val="0"/>
        </c:dLbls>
        <c:marker val="1"/>
        <c:smooth val="0"/>
        <c:axId val="331713007"/>
        <c:axId val="263474575"/>
      </c:lineChart>
      <c:catAx>
        <c:axId val="33171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63474575"/>
        <c:crosses val="autoZero"/>
        <c:auto val="1"/>
        <c:lblAlgn val="ctr"/>
        <c:lblOffset val="100"/>
        <c:noMultiLvlLbl val="0"/>
      </c:catAx>
      <c:valAx>
        <c:axId val="263474575"/>
        <c:scaling>
          <c:orientation val="minMax"/>
        </c:scaling>
        <c:delete val="0"/>
        <c:axPos val="l"/>
        <c:majorGridlines>
          <c:spPr>
            <a:ln w="9525" cap="flat" cmpd="sng" algn="ctr">
              <a:solidFill>
                <a:schemeClr val="tx1">
                  <a:lumMod val="15000"/>
                  <a:lumOff val="85000"/>
                </a:schemeClr>
              </a:solidFill>
              <a:round/>
            </a:ln>
            <a:effectLst/>
          </c:spPr>
        </c:majorGridlines>
        <c:numFmt formatCode="_-* #,##0\ _€_-;\-* #,##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331713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TCO comparison incremental TPS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strRef>
              <c:f>Data!$B$47</c:f>
              <c:strCache>
                <c:ptCount val="1"/>
                <c:pt idx="0">
                  <c:v>x86</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Data!$C$46:$F$46</c:f>
              <c:numCache>
                <c:formatCode>General</c:formatCode>
                <c:ptCount val="4"/>
                <c:pt idx="0">
                  <c:v>100</c:v>
                </c:pt>
                <c:pt idx="1">
                  <c:v>200</c:v>
                </c:pt>
                <c:pt idx="2">
                  <c:v>500</c:v>
                </c:pt>
                <c:pt idx="3">
                  <c:v>1000</c:v>
                </c:pt>
              </c:numCache>
            </c:numRef>
          </c:cat>
          <c:val>
            <c:numRef>
              <c:f>Data!$C$47:$F$47</c:f>
              <c:numCache>
                <c:formatCode>#,##0.00\ "€"</c:formatCode>
                <c:ptCount val="4"/>
                <c:pt idx="0">
                  <c:v>859910.94000000006</c:v>
                </c:pt>
                <c:pt idx="1">
                  <c:v>1042588.4400000001</c:v>
                </c:pt>
                <c:pt idx="2">
                  <c:v>2069664.3</c:v>
                </c:pt>
                <c:pt idx="3">
                  <c:v>3492667.7399999998</c:v>
                </c:pt>
              </c:numCache>
            </c:numRef>
          </c:val>
          <c:smooth val="0"/>
          <c:extLst>
            <c:ext xmlns:c16="http://schemas.microsoft.com/office/drawing/2014/chart" uri="{C3380CC4-5D6E-409C-BE32-E72D297353CC}">
              <c16:uniqueId val="{00000000-535B-4FAF-95BE-35BCAC869BCA}"/>
            </c:ext>
          </c:extLst>
        </c:ser>
        <c:ser>
          <c:idx val="1"/>
          <c:order val="1"/>
          <c:tx>
            <c:strRef>
              <c:f>Data!$B$48</c:f>
              <c:strCache>
                <c:ptCount val="1"/>
                <c:pt idx="0">
                  <c:v>LinuxONE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Data!$C$46:$F$46</c:f>
              <c:numCache>
                <c:formatCode>General</c:formatCode>
                <c:ptCount val="4"/>
                <c:pt idx="0">
                  <c:v>100</c:v>
                </c:pt>
                <c:pt idx="1">
                  <c:v>200</c:v>
                </c:pt>
                <c:pt idx="2">
                  <c:v>500</c:v>
                </c:pt>
                <c:pt idx="3">
                  <c:v>1000</c:v>
                </c:pt>
              </c:numCache>
            </c:numRef>
          </c:cat>
          <c:val>
            <c:numRef>
              <c:f>Data!$C$48:$F$48</c:f>
              <c:numCache>
                <c:formatCode>#,##0.00\ "€"</c:formatCode>
                <c:ptCount val="4"/>
                <c:pt idx="0" formatCode="General">
                  <c:v>1484198.5263157894</c:v>
                </c:pt>
                <c:pt idx="1">
                  <c:v>1484198.5263157894</c:v>
                </c:pt>
                <c:pt idx="2">
                  <c:v>1722780.3157894737</c:v>
                </c:pt>
                <c:pt idx="3">
                  <c:v>2129362.1052631582</c:v>
                </c:pt>
              </c:numCache>
            </c:numRef>
          </c:val>
          <c:smooth val="0"/>
          <c:extLst>
            <c:ext xmlns:c16="http://schemas.microsoft.com/office/drawing/2014/chart" uri="{C3380CC4-5D6E-409C-BE32-E72D297353CC}">
              <c16:uniqueId val="{00000001-535B-4FAF-95BE-35BCAC869BCA}"/>
            </c:ext>
          </c:extLst>
        </c:ser>
        <c:dLbls>
          <c:showLegendKey val="0"/>
          <c:showVal val="0"/>
          <c:showCatName val="0"/>
          <c:showSerName val="0"/>
          <c:showPercent val="0"/>
          <c:showBubbleSize val="0"/>
        </c:dLbls>
        <c:marker val="1"/>
        <c:smooth val="0"/>
        <c:axId val="1517173695"/>
        <c:axId val="1517190335"/>
      </c:lineChart>
      <c:catAx>
        <c:axId val="151717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17190335"/>
        <c:crosses val="autoZero"/>
        <c:auto val="1"/>
        <c:lblAlgn val="ctr"/>
        <c:lblOffset val="100"/>
        <c:noMultiLvlLbl val="0"/>
      </c:catAx>
      <c:valAx>
        <c:axId val="1517190335"/>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17173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6</xdr:colOff>
      <xdr:row>12</xdr:row>
      <xdr:rowOff>47625</xdr:rowOff>
    </xdr:from>
    <xdr:to>
      <xdr:col>7</xdr:col>
      <xdr:colOff>819150</xdr:colOff>
      <xdr:row>27</xdr:row>
      <xdr:rowOff>142875</xdr:rowOff>
    </xdr:to>
    <xdr:graphicFrame macro="">
      <xdr:nvGraphicFramePr>
        <xdr:cNvPr id="4" name="Chart 3">
          <a:extLst>
            <a:ext uri="{FF2B5EF4-FFF2-40B4-BE49-F238E27FC236}">
              <a16:creationId xmlns:a16="http://schemas.microsoft.com/office/drawing/2014/main" id="{64FDB1F2-3180-489E-95DC-143EAEDFD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400050</xdr:colOff>
      <xdr:row>12</xdr:row>
      <xdr:rowOff>57150</xdr:rowOff>
    </xdr:from>
    <xdr:to>
      <xdr:col>15</xdr:col>
      <xdr:colOff>666750</xdr:colOff>
      <xdr:row>27</xdr:row>
      <xdr:rowOff>152400</xdr:rowOff>
    </xdr:to>
    <xdr:graphicFrame macro="">
      <xdr:nvGraphicFramePr>
        <xdr:cNvPr id="5" name="Chart 4">
          <a:extLst>
            <a:ext uri="{FF2B5EF4-FFF2-40B4-BE49-F238E27FC236}">
              <a16:creationId xmlns:a16="http://schemas.microsoft.com/office/drawing/2014/main" id="{59BA40E8-6C10-4DBF-949C-FC6A97A8B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48</xdr:row>
      <xdr:rowOff>171450</xdr:rowOff>
    </xdr:from>
    <xdr:to>
      <xdr:col>6</xdr:col>
      <xdr:colOff>91440</xdr:colOff>
      <xdr:row>63</xdr:row>
      <xdr:rowOff>171450</xdr:rowOff>
    </xdr:to>
    <xdr:graphicFrame macro="">
      <xdr:nvGraphicFramePr>
        <xdr:cNvPr id="2" name="Grafico 1">
          <a:extLst>
            <a:ext uri="{FF2B5EF4-FFF2-40B4-BE49-F238E27FC236}">
              <a16:creationId xmlns:a16="http://schemas.microsoft.com/office/drawing/2014/main" id="{ACEC6118-8E8B-4B7C-A1C5-EB3A37222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bm.com/downloads/cas/2VVYYVNP"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ibm.com/it-infrastructure/resources/tools/linuxone-tco-calculator/"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oracle.com/assets/technology-price-list-070617.pdf" TargetMode="External"/><Relationship Id="rId13" Type="http://schemas.openxmlformats.org/officeDocument/2006/relationships/hyperlink" Target="https://docs.mongodb.com/manual/tutorial/deploy-replica-set/" TargetMode="External"/><Relationship Id="rId3" Type="http://schemas.openxmlformats.org/officeDocument/2006/relationships/hyperlink" Target="https://buy.hpe.com/it/it/servers/proliant-dl-servers/proliant-dl500-servers/proliant-dl560-server/hpe-proliant-dl560-gen10-server/hpe-proliant-dl560-gen10-6230-2-1ghz-20-core-2p-128gb-r-8sff-2x1600w-rps-server/p/P40455-B21" TargetMode="External"/><Relationship Id="rId7" Type="http://schemas.openxmlformats.org/officeDocument/2006/relationships/hyperlink" Target="https://www.redhat.com/en/store/red-hat-jboss-enterprise-application-platform" TargetMode="External"/><Relationship Id="rId12" Type="http://schemas.openxmlformats.org/officeDocument/2006/relationships/hyperlink" Target="https://docs.microsoft.com/it-it/sql/relational-databases/replication/configure-publishing-and-distribution?view=sql-server-ver15" TargetMode="External"/><Relationship Id="rId17" Type="http://schemas.openxmlformats.org/officeDocument/2006/relationships/drawing" Target="../drawings/drawing2.xml"/><Relationship Id="rId2" Type="http://schemas.openxmlformats.org/officeDocument/2006/relationships/hyperlink" Target="https://www.dell.com/en-us/work/shop/cty/pdp/spd/poweredge-r940/pe_r940_12229_vi_vp?configurationid=98797f27-d554-4678-b6d3-e9240afd88af" TargetMode="External"/><Relationship Id="rId16" Type="http://schemas.openxmlformats.org/officeDocument/2006/relationships/printerSettings" Target="../printerSettings/printerSettings4.bin"/><Relationship Id="rId1" Type="http://schemas.openxmlformats.org/officeDocument/2006/relationships/hyperlink" Target="https://www.ibm.com/software/passportadvantage/pvu_licensing_for_customers.html" TargetMode="External"/><Relationship Id="rId6" Type="http://schemas.openxmlformats.org/officeDocument/2006/relationships/hyperlink" Target="https://www.payara.fish/page/payara-enterprise-downloads/" TargetMode="External"/><Relationship Id="rId11" Type="http://schemas.openxmlformats.org/officeDocument/2006/relationships/hyperlink" Target="https://www.sqlite.org/prosupport.html" TargetMode="External"/><Relationship Id="rId5" Type="http://schemas.openxmlformats.org/officeDocument/2006/relationships/hyperlink" Target="https://reviews.financesonline.com/p/ibm-webspehre/" TargetMode="External"/><Relationship Id="rId15" Type="http://schemas.openxmlformats.org/officeDocument/2006/relationships/hyperlink" Target="https://www.reddit.com/r/mongodb/comments/a3xvaw/mongodb_enterprise_pricing/" TargetMode="External"/><Relationship Id="rId10" Type="http://schemas.openxmlformats.org/officeDocument/2006/relationships/hyperlink" Target="https://www.pcworld.com/article/2466460/mongodb-adds-support-option-for-community-edition-of-its-nosql-database.html" TargetMode="External"/><Relationship Id="rId4" Type="http://schemas.openxmlformats.org/officeDocument/2006/relationships/hyperlink" Target="https://www.oracle.com/assets/technology-price-list-070617.pdf" TargetMode="External"/><Relationship Id="rId9" Type="http://schemas.openxmlformats.org/officeDocument/2006/relationships/hyperlink" Target="https://www.microsoft.com/en-us/sql-server/sql-server-2019-pricing" TargetMode="External"/><Relationship Id="rId14" Type="http://schemas.openxmlformats.org/officeDocument/2006/relationships/hyperlink" Target="https://github.com/benbjohnson/litestre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5ECE-F123-4E15-9215-8E0BD218F3D5}">
  <dimension ref="A1:W23"/>
  <sheetViews>
    <sheetView workbookViewId="0">
      <selection activeCell="E3" sqref="E3"/>
    </sheetView>
  </sheetViews>
  <sheetFormatPr defaultRowHeight="14.4" x14ac:dyDescent="0.3"/>
  <cols>
    <col min="1" max="1" width="14.33203125" customWidth="1"/>
    <col min="2" max="2" width="9.88671875" bestFit="1" customWidth="1"/>
    <col min="3" max="3" width="11.33203125" bestFit="1" customWidth="1"/>
    <col min="4" max="4" width="12.33203125" bestFit="1" customWidth="1"/>
    <col min="6" max="6" width="9.109375" style="39"/>
    <col min="7" max="7" width="1.88671875" customWidth="1"/>
    <col min="8" max="8" width="8.6640625" style="10" customWidth="1"/>
    <col min="9" max="11" width="9.109375" style="10"/>
    <col min="12" max="12" width="9.6640625" style="10" customWidth="1"/>
    <col min="13" max="13" width="8.109375" style="10" bestFit="1" customWidth="1"/>
    <col min="14" max="14" width="9.44140625" style="10" bestFit="1" customWidth="1"/>
    <col min="15" max="15" width="7" style="10" customWidth="1"/>
    <col min="16" max="16" width="7.44140625" style="10" bestFit="1" customWidth="1"/>
    <col min="17" max="17" width="1.44140625" customWidth="1"/>
  </cols>
  <sheetData>
    <row r="1" spans="1:23" ht="44.25" customHeight="1" x14ac:dyDescent="0.3">
      <c r="C1" s="6" t="s">
        <v>143</v>
      </c>
      <c r="D1" s="6" t="s">
        <v>178</v>
      </c>
      <c r="E1" s="6" t="s">
        <v>182</v>
      </c>
      <c r="F1" s="6" t="s">
        <v>183</v>
      </c>
      <c r="I1" s="6"/>
    </row>
    <row r="2" spans="1:23" x14ac:dyDescent="0.3">
      <c r="C2" s="157">
        <v>8000</v>
      </c>
      <c r="D2" s="159">
        <f>'x86 TCO'!G5</f>
        <v>40</v>
      </c>
      <c r="E2" s="161">
        <v>2</v>
      </c>
      <c r="F2" s="181">
        <f>E4/D4</f>
        <v>0.2</v>
      </c>
      <c r="I2" s="162"/>
    </row>
    <row r="3" spans="1:23" s="10" customFormat="1" ht="69" x14ac:dyDescent="0.3">
      <c r="B3" s="18" t="s">
        <v>52</v>
      </c>
      <c r="C3" s="10" t="s">
        <v>51</v>
      </c>
      <c r="D3" s="6" t="s">
        <v>141</v>
      </c>
      <c r="E3" s="18" t="s">
        <v>54</v>
      </c>
      <c r="F3" s="134" t="s">
        <v>53</v>
      </c>
      <c r="H3" s="110" t="s">
        <v>128</v>
      </c>
      <c r="I3" s="18" t="s">
        <v>56</v>
      </c>
      <c r="J3" s="110" t="s">
        <v>129</v>
      </c>
      <c r="K3" s="18" t="s">
        <v>57</v>
      </c>
      <c r="L3" s="110" t="s">
        <v>179</v>
      </c>
      <c r="M3" s="18" t="s">
        <v>59</v>
      </c>
      <c r="N3" s="110" t="s">
        <v>180</v>
      </c>
      <c r="O3" s="18" t="s">
        <v>55</v>
      </c>
      <c r="P3" s="18" t="s">
        <v>176</v>
      </c>
      <c r="R3" s="134" t="s">
        <v>177</v>
      </c>
      <c r="S3" s="6" t="s">
        <v>174</v>
      </c>
      <c r="T3" s="18" t="s">
        <v>175</v>
      </c>
      <c r="U3" s="18" t="s">
        <v>130</v>
      </c>
      <c r="V3" s="18" t="s">
        <v>60</v>
      </c>
      <c r="W3" s="18" t="s">
        <v>131</v>
      </c>
    </row>
    <row r="4" spans="1:23" x14ac:dyDescent="0.3">
      <c r="A4" s="39" t="s">
        <v>106</v>
      </c>
      <c r="B4" s="43">
        <v>10</v>
      </c>
      <c r="C4" s="45">
        <v>20</v>
      </c>
      <c r="D4" s="119">
        <f>ROUNDUP($C$2/$C4,0)</f>
        <v>400</v>
      </c>
      <c r="E4" s="44">
        <f>IF(E2*D2&gt;D4,D4,E2*D2)</f>
        <v>80</v>
      </c>
      <c r="F4" s="135">
        <f>D4+E4</f>
        <v>480</v>
      </c>
      <c r="H4" s="158">
        <v>0.5</v>
      </c>
      <c r="I4" s="119">
        <f>ROUNDUP($F4*H4,0)</f>
        <v>240</v>
      </c>
      <c r="J4" s="158">
        <f>H4</f>
        <v>0.5</v>
      </c>
      <c r="K4" s="119">
        <f>ROUNDUP($F4*J4,0)</f>
        <v>240</v>
      </c>
      <c r="L4" s="158">
        <v>1</v>
      </c>
      <c r="M4" s="119">
        <f>ROUNDUP($F4*L4,0)</f>
        <v>480</v>
      </c>
      <c r="N4" s="158">
        <v>1</v>
      </c>
      <c r="O4" s="119">
        <f>ROUNDUP(($F4+M4)*N4,0)</f>
        <v>960</v>
      </c>
      <c r="P4" s="115"/>
      <c r="R4" s="135">
        <f>F4+I4+K4+M4+O4</f>
        <v>2400</v>
      </c>
      <c r="S4" s="120">
        <f>R$4/R5</f>
        <v>20</v>
      </c>
      <c r="T4" s="121">
        <f>F4+I4+K4+M4</f>
        <v>1440</v>
      </c>
      <c r="U4" s="116">
        <f>T$4/T5</f>
        <v>12</v>
      </c>
      <c r="V4" s="121">
        <f>R4</f>
        <v>2400</v>
      </c>
      <c r="W4" s="116">
        <f>V$4/V5</f>
        <v>12</v>
      </c>
    </row>
    <row r="5" spans="1:23" x14ac:dyDescent="0.3">
      <c r="A5" s="39" t="s">
        <v>145</v>
      </c>
      <c r="B5" s="43">
        <v>1</v>
      </c>
      <c r="C5" s="44">
        <f>$C$4*B4</f>
        <v>200</v>
      </c>
      <c r="D5" s="119">
        <f>ROUNDUP($C$2/$C5,0)</f>
        <v>40</v>
      </c>
      <c r="E5" s="115"/>
      <c r="F5" s="135">
        <f>D5+E5</f>
        <v>40</v>
      </c>
      <c r="H5" s="158">
        <f>H4</f>
        <v>0.5</v>
      </c>
      <c r="I5" s="126">
        <f>ROUNDUP($F5*H5,0)</f>
        <v>20</v>
      </c>
      <c r="J5" s="158">
        <f>J4</f>
        <v>0.5</v>
      </c>
      <c r="K5" s="126">
        <f>ROUNDUP($F5*J5,0)</f>
        <v>20</v>
      </c>
      <c r="L5" s="158">
        <v>1</v>
      </c>
      <c r="M5" s="119">
        <f>ROUNDUP($F5*L5,0)</f>
        <v>40</v>
      </c>
      <c r="N5" s="115"/>
      <c r="O5" s="156"/>
      <c r="P5" s="119">
        <f>F5+M5</f>
        <v>80</v>
      </c>
      <c r="R5" s="135">
        <f>F5+I5+K5+M5+O5</f>
        <v>120</v>
      </c>
      <c r="T5" s="121">
        <f>F5+I5+K5+M5</f>
        <v>120</v>
      </c>
      <c r="V5" s="121">
        <f>R5+P5</f>
        <v>200</v>
      </c>
    </row>
    <row r="6" spans="1:23" x14ac:dyDescent="0.3">
      <c r="L6" s="117" t="s">
        <v>135</v>
      </c>
    </row>
    <row r="7" spans="1:23" ht="21" x14ac:dyDescent="0.4">
      <c r="A7" s="41" t="s">
        <v>160</v>
      </c>
      <c r="H7" s="46"/>
    </row>
    <row r="8" spans="1:23" x14ac:dyDescent="0.3">
      <c r="A8" t="s">
        <v>166</v>
      </c>
      <c r="H8" s="46"/>
    </row>
    <row r="9" spans="1:23" x14ac:dyDescent="0.3">
      <c r="A9" t="s">
        <v>136</v>
      </c>
    </row>
    <row r="10" spans="1:23" x14ac:dyDescent="0.3">
      <c r="A10" t="s">
        <v>61</v>
      </c>
    </row>
    <row r="11" spans="1:23" x14ac:dyDescent="0.3">
      <c r="A11" t="s">
        <v>132</v>
      </c>
    </row>
    <row r="12" spans="1:23" x14ac:dyDescent="0.3">
      <c r="A12" t="s">
        <v>139</v>
      </c>
    </row>
    <row r="13" spans="1:23" x14ac:dyDescent="0.3">
      <c r="A13" t="s">
        <v>157</v>
      </c>
    </row>
    <row r="14" spans="1:23" x14ac:dyDescent="0.3">
      <c r="A14" t="s">
        <v>158</v>
      </c>
      <c r="B14" s="130" t="s">
        <v>159</v>
      </c>
    </row>
    <row r="16" spans="1:23" x14ac:dyDescent="0.3">
      <c r="A16" s="39" t="s">
        <v>164</v>
      </c>
    </row>
    <row r="17" spans="1:2" x14ac:dyDescent="0.3">
      <c r="A17" s="12"/>
      <c r="B17" t="s">
        <v>171</v>
      </c>
    </row>
    <row r="18" spans="1:2" x14ac:dyDescent="0.3">
      <c r="A18" s="107"/>
      <c r="B18" t="s">
        <v>165</v>
      </c>
    </row>
    <row r="19" spans="1:2" x14ac:dyDescent="0.3">
      <c r="A19" s="45"/>
      <c r="B19" t="s">
        <v>172</v>
      </c>
    </row>
    <row r="20" spans="1:2" x14ac:dyDescent="0.3">
      <c r="A20" s="38"/>
      <c r="B20" t="s">
        <v>167</v>
      </c>
    </row>
    <row r="21" spans="1:2" x14ac:dyDescent="0.3">
      <c r="A21" s="136"/>
      <c r="B21" t="s">
        <v>170</v>
      </c>
    </row>
    <row r="22" spans="1:2" x14ac:dyDescent="0.3">
      <c r="A22" s="19"/>
      <c r="B22" t="s">
        <v>169</v>
      </c>
    </row>
    <row r="23" spans="1:2" x14ac:dyDescent="0.3">
      <c r="A23" s="43"/>
      <c r="B23" t="s">
        <v>168</v>
      </c>
    </row>
  </sheetData>
  <hyperlinks>
    <hyperlink ref="B14" r:id="rId1" xr:uid="{95FA029E-A8B3-4617-A379-F47606B948A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EADEC-7A14-4A9C-8A71-96B3B16F8E7F}">
  <sheetPr>
    <outlinePr summaryBelow="0" summaryRight="0"/>
  </sheetPr>
  <dimension ref="A1:AC126"/>
  <sheetViews>
    <sheetView zoomScale="73" zoomScaleNormal="73" workbookViewId="0">
      <pane xSplit="1" ySplit="2" topLeftCell="B6" activePane="bottomRight" state="frozen"/>
      <selection pane="topRight" activeCell="B1" sqref="B1"/>
      <selection pane="bottomLeft" activeCell="A3" sqref="A3"/>
      <selection pane="bottomRight" activeCell="I30" sqref="I30"/>
    </sheetView>
  </sheetViews>
  <sheetFormatPr defaultRowHeight="14.4" outlineLevelRow="2" outlineLevelCol="1" x14ac:dyDescent="0.3"/>
  <cols>
    <col min="1" max="1" width="58.33203125" customWidth="1"/>
    <col min="2" max="2" width="4.33203125" customWidth="1" outlineLevel="1"/>
    <col min="3" max="3" width="12" customWidth="1" outlineLevel="1"/>
    <col min="4" max="9" width="13.109375" customWidth="1" outlineLevel="1"/>
    <col min="10" max="12" width="12.88671875" customWidth="1" outlineLevel="1"/>
    <col min="13" max="13" width="3.44140625" customWidth="1"/>
    <col min="14" max="14" width="6" customWidth="1" outlineLevel="1"/>
    <col min="15" max="16" width="9.88671875" customWidth="1" outlineLevel="1"/>
    <col min="17" max="17" width="11.33203125" customWidth="1" outlineLevel="1"/>
    <col min="18" max="27" width="14.6640625" customWidth="1" outlineLevel="1"/>
    <col min="28" max="28" width="14.6640625" customWidth="1"/>
  </cols>
  <sheetData>
    <row r="1" spans="1:28" ht="24" customHeight="1" x14ac:dyDescent="0.4">
      <c r="A1" s="41" t="s">
        <v>14</v>
      </c>
      <c r="B1" s="41"/>
      <c r="R1" s="191" t="s">
        <v>21</v>
      </c>
      <c r="S1" s="192"/>
      <c r="T1" s="192"/>
      <c r="U1" s="192"/>
      <c r="V1" s="193"/>
      <c r="W1" s="191" t="s">
        <v>22</v>
      </c>
      <c r="X1" s="192"/>
      <c r="Y1" s="192"/>
      <c r="Z1" s="192"/>
      <c r="AA1" s="193"/>
      <c r="AB1" s="1" t="s">
        <v>66</v>
      </c>
    </row>
    <row r="2" spans="1:28" ht="18" x14ac:dyDescent="0.35">
      <c r="A2" s="40" t="s">
        <v>13</v>
      </c>
      <c r="B2" s="40"/>
      <c r="R2" s="10">
        <v>1</v>
      </c>
      <c r="S2" s="10">
        <v>2</v>
      </c>
      <c r="T2" s="10">
        <v>3</v>
      </c>
      <c r="U2" s="10">
        <v>4</v>
      </c>
      <c r="V2" s="10">
        <v>5</v>
      </c>
      <c r="W2" s="10">
        <v>1</v>
      </c>
      <c r="X2" s="10">
        <v>2</v>
      </c>
      <c r="Y2" s="10">
        <v>3</v>
      </c>
      <c r="Z2" s="10">
        <v>4</v>
      </c>
      <c r="AA2" s="10">
        <v>5</v>
      </c>
    </row>
    <row r="3" spans="1:28" s="59" customFormat="1" ht="30.75" customHeight="1" x14ac:dyDescent="0.3">
      <c r="A3" s="58" t="s">
        <v>1</v>
      </c>
      <c r="B3" s="58"/>
    </row>
    <row r="4" spans="1:28" s="10" customFormat="1" ht="36" customHeight="1" outlineLevel="1" x14ac:dyDescent="0.3">
      <c r="A4" s="10" t="s">
        <v>15</v>
      </c>
      <c r="C4" s="11" t="s">
        <v>21</v>
      </c>
      <c r="D4" s="11" t="s">
        <v>22</v>
      </c>
      <c r="E4" s="11" t="s">
        <v>16</v>
      </c>
      <c r="F4" s="11" t="s">
        <v>23</v>
      </c>
      <c r="G4" s="11" t="s">
        <v>25</v>
      </c>
      <c r="H4" s="11" t="s">
        <v>19</v>
      </c>
      <c r="I4" s="11" t="s">
        <v>24</v>
      </c>
      <c r="J4" s="11" t="s">
        <v>38</v>
      </c>
      <c r="K4" s="11"/>
      <c r="L4" s="11" t="s">
        <v>17</v>
      </c>
    </row>
    <row r="5" spans="1:28" s="39" customFormat="1" outlineLevel="1" x14ac:dyDescent="0.3">
      <c r="A5" s="31" t="str" cm="1">
        <f t="array" ref="A5">INDEX(A6:A16,$B$5)</f>
        <v>Rack HPE w Xeon Gold 6230 20C 2.10GHz (2 Chips, 40 Cores)</v>
      </c>
      <c r="B5" s="22">
        <f>MATCH("S",B6:B16)</f>
        <v>6</v>
      </c>
      <c r="C5" s="21" cm="1">
        <f t="array" ref="C5">INDEX(C6:C16,$B$5)</f>
        <v>8000</v>
      </c>
      <c r="D5" s="21" cm="1">
        <f t="array" ref="D5">INDEX(D6:D16,$B$5)</f>
        <v>1600</v>
      </c>
      <c r="E5" s="22" cm="1">
        <f t="array" ref="E5">INDEX(E6:E16,$B$5)</f>
        <v>4</v>
      </c>
      <c r="F5" s="23" cm="1">
        <f t="array" ref="F5">INDEX(F6:F16,$B$5)</f>
        <v>0</v>
      </c>
      <c r="G5" s="32" cm="1">
        <f t="array" ref="G5">INDEX(G6:G16,$B$5)</f>
        <v>40</v>
      </c>
      <c r="H5" s="22" cm="1">
        <f t="array" ref="H5">INDEX(H6:H16,$B$5)</f>
        <v>2</v>
      </c>
      <c r="I5" s="22" cm="1">
        <f t="array" ref="I5">INDEX(I6:I16,$B$5)</f>
        <v>20</v>
      </c>
      <c r="J5" s="22" cm="1">
        <f t="array" ref="J5">INDEX(J6:J16,$B$5)</f>
        <v>15</v>
      </c>
      <c r="K5" s="22"/>
      <c r="L5" s="49" cm="1">
        <f t="array" ref="L5">INDEX(L6:L16,$B$5)</f>
        <v>1.6</v>
      </c>
    </row>
    <row r="6" spans="1:28" outlineLevel="2" x14ac:dyDescent="0.3">
      <c r="A6" s="47" t="s">
        <v>154</v>
      </c>
      <c r="B6" s="13">
        <v>0</v>
      </c>
      <c r="C6" s="127">
        <v>8000</v>
      </c>
      <c r="D6" s="127">
        <f>C6*0.2</f>
        <v>1600</v>
      </c>
      <c r="E6" s="30">
        <v>4</v>
      </c>
      <c r="F6" s="128">
        <v>0.3</v>
      </c>
      <c r="G6" s="15">
        <f t="shared" ref="G6" si="0">H6*I6</f>
        <v>16</v>
      </c>
      <c r="H6" s="30">
        <v>2</v>
      </c>
      <c r="I6" s="30">
        <v>8</v>
      </c>
      <c r="J6" s="51">
        <v>30</v>
      </c>
      <c r="K6" s="51"/>
      <c r="L6" s="137">
        <v>0.5</v>
      </c>
    </row>
    <row r="7" spans="1:28" outlineLevel="2" x14ac:dyDescent="0.3">
      <c r="A7" s="47" t="s">
        <v>153</v>
      </c>
      <c r="B7" s="13">
        <v>0</v>
      </c>
      <c r="C7" s="127">
        <v>10000</v>
      </c>
      <c r="D7" s="127">
        <f t="shared" ref="D7:D9" si="1">C7*0.2</f>
        <v>2000</v>
      </c>
      <c r="E7" s="30">
        <v>4</v>
      </c>
      <c r="F7" s="128">
        <v>0.3</v>
      </c>
      <c r="G7" s="15">
        <f t="shared" ref="G7:G8" si="2">H7*I7</f>
        <v>20</v>
      </c>
      <c r="H7" s="30">
        <v>2</v>
      </c>
      <c r="I7" s="30">
        <v>10</v>
      </c>
      <c r="J7" s="51">
        <v>30</v>
      </c>
      <c r="K7" s="51"/>
      <c r="L7" s="137">
        <v>0.6</v>
      </c>
    </row>
    <row r="8" spans="1:28" outlineLevel="2" x14ac:dyDescent="0.3">
      <c r="A8" s="47" t="s">
        <v>173</v>
      </c>
      <c r="B8" s="13">
        <v>0</v>
      </c>
      <c r="C8" s="127">
        <v>12000</v>
      </c>
      <c r="D8" s="127">
        <f t="shared" si="1"/>
        <v>2400</v>
      </c>
      <c r="E8" s="30">
        <v>4</v>
      </c>
      <c r="F8" s="128">
        <v>0.3</v>
      </c>
      <c r="G8" s="15">
        <f t="shared" si="2"/>
        <v>24</v>
      </c>
      <c r="H8" s="30">
        <v>2</v>
      </c>
      <c r="I8" s="30">
        <v>12</v>
      </c>
      <c r="J8" s="51">
        <v>15</v>
      </c>
      <c r="K8" s="51"/>
      <c r="L8" s="137">
        <v>1.2</v>
      </c>
    </row>
    <row r="9" spans="1:28" outlineLevel="2" x14ac:dyDescent="0.3">
      <c r="A9" s="47" t="s">
        <v>152</v>
      </c>
      <c r="B9" s="13">
        <v>0</v>
      </c>
      <c r="C9" s="127">
        <v>24000</v>
      </c>
      <c r="D9" s="127">
        <f t="shared" si="1"/>
        <v>4800</v>
      </c>
      <c r="E9" s="30">
        <v>4</v>
      </c>
      <c r="F9" s="128">
        <v>0.3</v>
      </c>
      <c r="G9" s="15">
        <f t="shared" ref="G9" si="3">H9*I9</f>
        <v>48</v>
      </c>
      <c r="H9" s="30">
        <v>4</v>
      </c>
      <c r="I9" s="30">
        <v>12</v>
      </c>
      <c r="J9" s="51">
        <v>15</v>
      </c>
      <c r="K9" s="51"/>
      <c r="L9" s="137">
        <v>1.2</v>
      </c>
    </row>
    <row r="10" spans="1:28" outlineLevel="2" x14ac:dyDescent="0.3">
      <c r="A10" s="12" t="str">
        <f>Data!A5</f>
        <v>Rack DELL w Xeon Gold 5220 18C 2.20GHz (4 Chips, 72 Cores)</v>
      </c>
      <c r="B10" s="13">
        <v>0</v>
      </c>
      <c r="C10" s="26">
        <f>Data!B5</f>
        <v>20800</v>
      </c>
      <c r="D10" s="26">
        <f>Data!C5</f>
        <v>4160</v>
      </c>
      <c r="E10" s="16">
        <f>Data!D5</f>
        <v>4</v>
      </c>
      <c r="F10" s="17">
        <f>Data!E5</f>
        <v>0.37</v>
      </c>
      <c r="G10" s="15">
        <f t="shared" ref="G10:G16" si="4">H10*I10</f>
        <v>72</v>
      </c>
      <c r="H10" s="16">
        <f>Data!G5</f>
        <v>4</v>
      </c>
      <c r="I10" s="16">
        <f>Data!H5</f>
        <v>18</v>
      </c>
      <c r="J10" s="51">
        <f>Data!I5</f>
        <v>10</v>
      </c>
      <c r="K10" s="51"/>
      <c r="L10" s="133">
        <f>Data!J5</f>
        <v>1.1000000000000001</v>
      </c>
    </row>
    <row r="11" spans="1:28" outlineLevel="2" x14ac:dyDescent="0.3">
      <c r="A11" s="12" t="str">
        <f>Data!A6</f>
        <v>Rack HPE w Xeon Gold 6230 20C 2.10GHz (2 Chips, 40 Cores)</v>
      </c>
      <c r="B11" s="13" t="s">
        <v>12</v>
      </c>
      <c r="C11" s="26">
        <f>Data!B6</f>
        <v>8000</v>
      </c>
      <c r="D11" s="26">
        <f>Data!C6</f>
        <v>1600</v>
      </c>
      <c r="E11" s="16">
        <f>Data!D6</f>
        <v>4</v>
      </c>
      <c r="F11" s="17">
        <f>Data!E6</f>
        <v>0</v>
      </c>
      <c r="G11" s="15">
        <f t="shared" si="4"/>
        <v>40</v>
      </c>
      <c r="H11" s="16">
        <f>Data!G6</f>
        <v>2</v>
      </c>
      <c r="I11" s="16">
        <f>Data!H6</f>
        <v>20</v>
      </c>
      <c r="J11" s="51">
        <f>Data!I6</f>
        <v>15</v>
      </c>
      <c r="K11" s="51"/>
      <c r="L11" s="133">
        <f>Data!J6</f>
        <v>1.6</v>
      </c>
    </row>
    <row r="12" spans="1:28" outlineLevel="2" x14ac:dyDescent="0.3">
      <c r="A12" s="12"/>
      <c r="B12" s="13">
        <v>0</v>
      </c>
      <c r="C12" s="26"/>
      <c r="D12" s="26"/>
      <c r="E12" s="16"/>
      <c r="F12" s="17"/>
      <c r="G12" s="15">
        <f t="shared" si="4"/>
        <v>0</v>
      </c>
      <c r="H12" s="16"/>
      <c r="I12" s="16"/>
      <c r="J12" s="51"/>
      <c r="K12" s="51"/>
      <c r="L12" s="133"/>
    </row>
    <row r="13" spans="1:28" outlineLevel="2" x14ac:dyDescent="0.3">
      <c r="A13" s="12"/>
      <c r="B13" s="13">
        <v>0</v>
      </c>
      <c r="C13" s="26"/>
      <c r="D13" s="26"/>
      <c r="E13" s="16"/>
      <c r="F13" s="17"/>
      <c r="G13" s="15">
        <f t="shared" si="4"/>
        <v>0</v>
      </c>
      <c r="H13" s="16"/>
      <c r="I13" s="16"/>
      <c r="J13" s="51"/>
      <c r="K13" s="51"/>
      <c r="L13" s="133"/>
    </row>
    <row r="14" spans="1:28" outlineLevel="2" x14ac:dyDescent="0.3">
      <c r="A14" s="12"/>
      <c r="B14" s="13">
        <v>0</v>
      </c>
      <c r="C14" s="26"/>
      <c r="D14" s="26"/>
      <c r="E14" s="16"/>
      <c r="F14" s="17"/>
      <c r="G14" s="15">
        <f t="shared" si="4"/>
        <v>0</v>
      </c>
      <c r="H14" s="16"/>
      <c r="I14" s="16"/>
      <c r="J14" s="51"/>
      <c r="K14" s="51"/>
      <c r="L14" s="133"/>
    </row>
    <row r="15" spans="1:28" outlineLevel="2" x14ac:dyDescent="0.3">
      <c r="A15" s="12"/>
      <c r="B15" s="13">
        <v>0</v>
      </c>
      <c r="C15" s="26"/>
      <c r="D15" s="26"/>
      <c r="E15" s="16"/>
      <c r="F15" s="17"/>
      <c r="G15" s="15">
        <f t="shared" si="4"/>
        <v>0</v>
      </c>
      <c r="H15" s="16"/>
      <c r="I15" s="16"/>
      <c r="J15" s="51"/>
      <c r="K15" s="51"/>
      <c r="L15" s="133"/>
    </row>
    <row r="16" spans="1:28" outlineLevel="2" x14ac:dyDescent="0.3">
      <c r="A16" s="12"/>
      <c r="B16" s="13">
        <v>0</v>
      </c>
      <c r="C16" s="26" t="s">
        <v>68</v>
      </c>
      <c r="D16" s="26"/>
      <c r="E16" s="16"/>
      <c r="F16" s="17"/>
      <c r="G16" s="15">
        <f t="shared" si="4"/>
        <v>0</v>
      </c>
      <c r="H16" s="16"/>
      <c r="I16" s="16"/>
      <c r="J16" s="51"/>
      <c r="K16" s="51"/>
      <c r="L16" s="133"/>
    </row>
    <row r="17" spans="1:29" ht="15" outlineLevel="1" thickBot="1" x14ac:dyDescent="0.35"/>
    <row r="18" spans="1:29" s="10" customFormat="1" ht="43.8" outlineLevel="1" thickBot="1" x14ac:dyDescent="0.35">
      <c r="A18" s="10" t="s">
        <v>67</v>
      </c>
      <c r="C18" s="94" t="s">
        <v>84</v>
      </c>
      <c r="D18" s="96" t="s">
        <v>86</v>
      </c>
      <c r="E18" s="95" t="s">
        <v>85</v>
      </c>
      <c r="F18" s="73" t="s">
        <v>87</v>
      </c>
      <c r="G18" s="74" t="s">
        <v>91</v>
      </c>
      <c r="H18" s="73" t="s">
        <v>89</v>
      </c>
      <c r="I18" s="73" t="s">
        <v>88</v>
      </c>
      <c r="J18" s="73" t="s">
        <v>90</v>
      </c>
      <c r="K18" s="74" t="s">
        <v>92</v>
      </c>
      <c r="O18" s="83" t="s">
        <v>18</v>
      </c>
      <c r="P18" s="83" t="s">
        <v>26</v>
      </c>
      <c r="Q18" s="83" t="s">
        <v>27</v>
      </c>
      <c r="R18" s="53">
        <v>1</v>
      </c>
      <c r="S18" s="54">
        <v>2</v>
      </c>
      <c r="T18" s="54">
        <v>3</v>
      </c>
      <c r="U18" s="54">
        <v>4</v>
      </c>
      <c r="V18" s="55">
        <v>5</v>
      </c>
      <c r="W18" s="53">
        <v>1</v>
      </c>
      <c r="X18" s="54">
        <v>2</v>
      </c>
      <c r="Y18" s="54">
        <v>3</v>
      </c>
      <c r="Z18" s="54">
        <v>4</v>
      </c>
      <c r="AA18" s="55">
        <v>5</v>
      </c>
      <c r="AB18" s="57" t="s">
        <v>20</v>
      </c>
    </row>
    <row r="19" spans="1:29" outlineLevel="1" x14ac:dyDescent="0.3">
      <c r="A19" s="14" t="s">
        <v>6</v>
      </c>
      <c r="B19" s="14"/>
      <c r="C19" s="10">
        <f>sizing!D4</f>
        <v>400</v>
      </c>
      <c r="D19" s="1" t="s">
        <v>134</v>
      </c>
      <c r="E19" s="92">
        <f>sizing!F4</f>
        <v>480</v>
      </c>
      <c r="F19" s="75">
        <f>$G$5</f>
        <v>40</v>
      </c>
      <c r="G19" s="72">
        <f>ROUNDUP(E19/F19,0)</f>
        <v>12</v>
      </c>
      <c r="H19" s="76">
        <f>F19*G19</f>
        <v>480</v>
      </c>
      <c r="I19" s="76">
        <f>H19-E19</f>
        <v>0</v>
      </c>
      <c r="J19" s="77">
        <f>I19/H19</f>
        <v>0</v>
      </c>
      <c r="K19" s="72">
        <f>ROUNDUP(E19/$I$5,0)</f>
        <v>24</v>
      </c>
      <c r="N19" s="14" t="s">
        <v>6</v>
      </c>
      <c r="O19" s="84">
        <f>G19</f>
        <v>12</v>
      </c>
      <c r="P19" s="84">
        <f>K19</f>
        <v>24</v>
      </c>
      <c r="Q19" s="84">
        <f>E19</f>
        <v>480</v>
      </c>
      <c r="R19" s="52">
        <f>$O19*$C$5*(1-$F$5)</f>
        <v>96000</v>
      </c>
      <c r="S19" s="52"/>
      <c r="T19" s="52"/>
      <c r="U19" s="52"/>
      <c r="V19" s="52"/>
      <c r="W19" s="52">
        <f t="shared" ref="W19:AA23" si="5">IF(W$18&lt;$E$5,0,$O19*$D$5)*(1-$F$5)</f>
        <v>0</v>
      </c>
      <c r="X19" s="52">
        <f t="shared" si="5"/>
        <v>0</v>
      </c>
      <c r="Y19" s="52">
        <f t="shared" si="5"/>
        <v>0</v>
      </c>
      <c r="Z19" s="52">
        <f t="shared" si="5"/>
        <v>19200</v>
      </c>
      <c r="AA19" s="52">
        <f t="shared" si="5"/>
        <v>19200</v>
      </c>
      <c r="AB19" s="56">
        <f>SUM(R19:AA19)</f>
        <v>134400</v>
      </c>
      <c r="AC19" s="1" t="s">
        <v>6</v>
      </c>
    </row>
    <row r="20" spans="1:29" outlineLevel="1" x14ac:dyDescent="0.3">
      <c r="A20" s="14" t="s">
        <v>7</v>
      </c>
      <c r="B20" s="14"/>
      <c r="D20" s="111">
        <f>sizing!H4</f>
        <v>0.5</v>
      </c>
      <c r="E20" s="92">
        <f>sizing!I4</f>
        <v>240</v>
      </c>
      <c r="F20" s="75">
        <f t="shared" ref="F20:F23" si="6">$G$5</f>
        <v>40</v>
      </c>
      <c r="G20" s="72">
        <f t="shared" ref="G20:G22" si="7">ROUNDUP(E20/F20,0)</f>
        <v>6</v>
      </c>
      <c r="H20" s="76">
        <f t="shared" ref="H20:H23" si="8">F20*G20</f>
        <v>240</v>
      </c>
      <c r="I20" s="76">
        <f t="shared" ref="I20:I23" si="9">H20-E20</f>
        <v>0</v>
      </c>
      <c r="J20" s="77">
        <f t="shared" ref="J20:J24" si="10">I20/H20</f>
        <v>0</v>
      </c>
      <c r="K20" s="72">
        <f t="shared" ref="K20:K23" si="11">ROUNDUP(E20/$I$5,0)</f>
        <v>12</v>
      </c>
      <c r="N20" s="14" t="s">
        <v>7</v>
      </c>
      <c r="O20" s="84">
        <f t="shared" ref="O20:O23" si="12">G20</f>
        <v>6</v>
      </c>
      <c r="P20" s="84">
        <f t="shared" ref="P20:P23" si="13">K20</f>
        <v>12</v>
      </c>
      <c r="Q20" s="84">
        <f t="shared" ref="Q20:Q23" si="14">E20</f>
        <v>240</v>
      </c>
      <c r="R20" s="19">
        <f>$O20*$C$5*(1-$F$5)</f>
        <v>48000</v>
      </c>
      <c r="S20" s="19"/>
      <c r="T20" s="19"/>
      <c r="U20" s="19"/>
      <c r="V20" s="19"/>
      <c r="W20" s="19">
        <f t="shared" si="5"/>
        <v>0</v>
      </c>
      <c r="X20" s="19">
        <f t="shared" si="5"/>
        <v>0</v>
      </c>
      <c r="Y20" s="19">
        <f t="shared" si="5"/>
        <v>0</v>
      </c>
      <c r="Z20" s="19">
        <f t="shared" si="5"/>
        <v>9600</v>
      </c>
      <c r="AA20" s="19">
        <f t="shared" si="5"/>
        <v>9600</v>
      </c>
      <c r="AB20" s="20">
        <f>SUM(R20:AA20)</f>
        <v>67200</v>
      </c>
      <c r="AC20" s="1" t="s">
        <v>7</v>
      </c>
    </row>
    <row r="21" spans="1:29" outlineLevel="1" x14ac:dyDescent="0.3">
      <c r="A21" s="14" t="s">
        <v>8</v>
      </c>
      <c r="B21" s="14"/>
      <c r="D21" s="111">
        <f>sizing!J4</f>
        <v>0.5</v>
      </c>
      <c r="E21" s="92">
        <f>sizing!K4</f>
        <v>240</v>
      </c>
      <c r="F21" s="75">
        <f t="shared" si="6"/>
        <v>40</v>
      </c>
      <c r="G21" s="72">
        <f t="shared" si="7"/>
        <v>6</v>
      </c>
      <c r="H21" s="76">
        <f t="shared" si="8"/>
        <v>240</v>
      </c>
      <c r="I21" s="76">
        <f t="shared" si="9"/>
        <v>0</v>
      </c>
      <c r="J21" s="77">
        <f t="shared" si="10"/>
        <v>0</v>
      </c>
      <c r="K21" s="72">
        <f t="shared" si="11"/>
        <v>12</v>
      </c>
      <c r="N21" s="14" t="s">
        <v>8</v>
      </c>
      <c r="O21" s="84">
        <f t="shared" si="12"/>
        <v>6</v>
      </c>
      <c r="P21" s="84">
        <f t="shared" si="13"/>
        <v>12</v>
      </c>
      <c r="Q21" s="84">
        <f t="shared" si="14"/>
        <v>240</v>
      </c>
      <c r="R21" s="19">
        <f>$O21*$C$5*(1-$F$5)</f>
        <v>48000</v>
      </c>
      <c r="S21" s="19"/>
      <c r="T21" s="19"/>
      <c r="U21" s="19"/>
      <c r="V21" s="19"/>
      <c r="W21" s="19">
        <f t="shared" si="5"/>
        <v>0</v>
      </c>
      <c r="X21" s="19">
        <f t="shared" si="5"/>
        <v>0</v>
      </c>
      <c r="Y21" s="19">
        <f t="shared" si="5"/>
        <v>0</v>
      </c>
      <c r="Z21" s="19">
        <f t="shared" si="5"/>
        <v>9600</v>
      </c>
      <c r="AA21" s="19">
        <f t="shared" si="5"/>
        <v>9600</v>
      </c>
      <c r="AB21" s="20">
        <f>SUM(R21:AA21)</f>
        <v>67200</v>
      </c>
      <c r="AC21" s="1" t="s">
        <v>8</v>
      </c>
    </row>
    <row r="22" spans="1:29" ht="15" outlineLevel="1" thickBot="1" x14ac:dyDescent="0.35">
      <c r="A22" s="14" t="s">
        <v>133</v>
      </c>
      <c r="B22" s="14"/>
      <c r="D22" s="112">
        <f>sizing!L4</f>
        <v>1</v>
      </c>
      <c r="E22" s="92">
        <f>sizing!M4</f>
        <v>480</v>
      </c>
      <c r="F22" s="75">
        <f t="shared" si="6"/>
        <v>40</v>
      </c>
      <c r="G22" s="72">
        <f t="shared" si="7"/>
        <v>12</v>
      </c>
      <c r="H22" s="76">
        <f t="shared" si="8"/>
        <v>480</v>
      </c>
      <c r="I22" s="76">
        <f t="shared" si="9"/>
        <v>0</v>
      </c>
      <c r="J22" s="77">
        <f t="shared" si="10"/>
        <v>0</v>
      </c>
      <c r="K22" s="72">
        <f t="shared" si="11"/>
        <v>24</v>
      </c>
      <c r="N22" s="14" t="s">
        <v>133</v>
      </c>
      <c r="O22" s="84">
        <f t="shared" si="12"/>
        <v>12</v>
      </c>
      <c r="P22" s="84">
        <f t="shared" si="13"/>
        <v>24</v>
      </c>
      <c r="Q22" s="84">
        <f t="shared" si="14"/>
        <v>480</v>
      </c>
      <c r="R22" s="19">
        <f>$O22*$C$5*(1-$F$5)</f>
        <v>96000</v>
      </c>
      <c r="S22" s="19"/>
      <c r="T22" s="19"/>
      <c r="U22" s="19"/>
      <c r="V22" s="19"/>
      <c r="W22" s="19">
        <f t="shared" si="5"/>
        <v>0</v>
      </c>
      <c r="X22" s="19">
        <f t="shared" si="5"/>
        <v>0</v>
      </c>
      <c r="Y22" s="19">
        <f t="shared" si="5"/>
        <v>0</v>
      </c>
      <c r="Z22" s="19">
        <f t="shared" si="5"/>
        <v>19200</v>
      </c>
      <c r="AA22" s="19">
        <f t="shared" si="5"/>
        <v>19200</v>
      </c>
      <c r="AB22" s="20">
        <f>SUM(R22:AA22)</f>
        <v>134400</v>
      </c>
      <c r="AC22" s="1" t="s">
        <v>9</v>
      </c>
    </row>
    <row r="23" spans="1:29" ht="15" outlineLevel="1" thickBot="1" x14ac:dyDescent="0.35">
      <c r="A23" s="14" t="s">
        <v>10</v>
      </c>
      <c r="B23" s="14"/>
      <c r="C23" s="163"/>
      <c r="D23" s="113">
        <f>sizing!N4</f>
        <v>1</v>
      </c>
      <c r="E23" s="92">
        <f>sizing!O4</f>
        <v>960</v>
      </c>
      <c r="F23" s="75">
        <f t="shared" si="6"/>
        <v>40</v>
      </c>
      <c r="G23" s="72">
        <f>G19+G22</f>
        <v>24</v>
      </c>
      <c r="H23" s="76">
        <f t="shared" si="8"/>
        <v>960</v>
      </c>
      <c r="I23" s="76">
        <f t="shared" si="9"/>
        <v>0</v>
      </c>
      <c r="J23" s="77">
        <f t="shared" si="10"/>
        <v>0</v>
      </c>
      <c r="K23" s="72">
        <f t="shared" si="11"/>
        <v>48</v>
      </c>
      <c r="N23" s="14" t="s">
        <v>10</v>
      </c>
      <c r="O23" s="84">
        <f t="shared" si="12"/>
        <v>24</v>
      </c>
      <c r="P23" s="84">
        <f t="shared" si="13"/>
        <v>48</v>
      </c>
      <c r="Q23" s="84">
        <f t="shared" si="14"/>
        <v>960</v>
      </c>
      <c r="R23" s="19">
        <f>$O23*$C$5*(1-$F$5)</f>
        <v>192000</v>
      </c>
      <c r="S23" s="19"/>
      <c r="T23" s="19"/>
      <c r="U23" s="19"/>
      <c r="V23" s="19"/>
      <c r="W23" s="19">
        <f t="shared" si="5"/>
        <v>0</v>
      </c>
      <c r="X23" s="19">
        <f t="shared" si="5"/>
        <v>0</v>
      </c>
      <c r="Y23" s="19">
        <f t="shared" si="5"/>
        <v>0</v>
      </c>
      <c r="Z23" s="19">
        <f t="shared" si="5"/>
        <v>38400</v>
      </c>
      <c r="AA23" s="19">
        <f t="shared" si="5"/>
        <v>38400</v>
      </c>
      <c r="AB23" s="20">
        <f>SUM(R23:AA23)</f>
        <v>268800</v>
      </c>
      <c r="AC23" s="1" t="s">
        <v>10</v>
      </c>
    </row>
    <row r="24" spans="1:29" x14ac:dyDescent="0.3">
      <c r="A24" s="64" t="s">
        <v>20</v>
      </c>
      <c r="B24" s="64"/>
      <c r="C24" s="39"/>
      <c r="D24" s="93"/>
      <c r="E24" s="78">
        <f>SUM(E19:E23)</f>
        <v>2400</v>
      </c>
      <c r="F24" s="79"/>
      <c r="G24" s="80">
        <f>SUM(G19:G23)</f>
        <v>60</v>
      </c>
      <c r="H24" s="81">
        <f>SUM(H19:H23)</f>
        <v>2400</v>
      </c>
      <c r="I24" s="81">
        <f>SUM(I19:I23)</f>
        <v>0</v>
      </c>
      <c r="J24" s="82">
        <f t="shared" si="10"/>
        <v>0</v>
      </c>
      <c r="K24" s="80">
        <f>SUM(K19:K23)</f>
        <v>120</v>
      </c>
      <c r="N24" s="5"/>
      <c r="O24" s="50">
        <f>SUM(O19:O23)</f>
        <v>60</v>
      </c>
      <c r="P24" s="50">
        <f>SUM(P19:P23)</f>
        <v>120</v>
      </c>
      <c r="Q24" s="50">
        <f>SUM(Q19:Q23)</f>
        <v>2400</v>
      </c>
      <c r="R24" s="71">
        <f t="shared" ref="R24:AB24" si="15">SUM(R19:R23)</f>
        <v>480000</v>
      </c>
      <c r="S24" s="71">
        <f t="shared" si="15"/>
        <v>0</v>
      </c>
      <c r="T24" s="71">
        <f t="shared" si="15"/>
        <v>0</v>
      </c>
      <c r="U24" s="71">
        <f t="shared" si="15"/>
        <v>0</v>
      </c>
      <c r="V24" s="71">
        <f t="shared" si="15"/>
        <v>0</v>
      </c>
      <c r="W24" s="71">
        <f t="shared" si="15"/>
        <v>0</v>
      </c>
      <c r="X24" s="71">
        <f t="shared" si="15"/>
        <v>0</v>
      </c>
      <c r="Y24" s="71">
        <f t="shared" si="15"/>
        <v>0</v>
      </c>
      <c r="Z24" s="71">
        <f t="shared" si="15"/>
        <v>96000</v>
      </c>
      <c r="AA24" s="71">
        <f t="shared" si="15"/>
        <v>96000</v>
      </c>
      <c r="AB24" s="71">
        <f t="shared" si="15"/>
        <v>672000</v>
      </c>
      <c r="AC24" s="5" t="s">
        <v>20</v>
      </c>
    </row>
    <row r="25" spans="1:29" ht="28.8" x14ac:dyDescent="0.3">
      <c r="O25" s="18" t="s">
        <v>18</v>
      </c>
      <c r="P25" s="18" t="s">
        <v>26</v>
      </c>
      <c r="Q25" s="18" t="s">
        <v>27</v>
      </c>
    </row>
    <row r="26" spans="1:29" s="60" customFormat="1" ht="28.5" customHeight="1" thickBot="1" x14ac:dyDescent="0.35">
      <c r="A26" s="58" t="s">
        <v>32</v>
      </c>
      <c r="B26" s="58"/>
      <c r="R26" s="59"/>
      <c r="S26" s="59"/>
      <c r="T26" s="59"/>
      <c r="U26" s="59"/>
      <c r="V26" s="59"/>
      <c r="W26" s="59"/>
      <c r="X26" s="59"/>
      <c r="Y26" s="59"/>
      <c r="Z26" s="59"/>
      <c r="AA26" s="59"/>
      <c r="AB26" s="59"/>
      <c r="AC26" s="59"/>
    </row>
    <row r="27" spans="1:29" ht="38.25" customHeight="1" outlineLevel="1" thickBot="1" x14ac:dyDescent="0.35">
      <c r="A27" s="48" t="s">
        <v>69</v>
      </c>
      <c r="C27" s="11" t="s">
        <v>63</v>
      </c>
      <c r="D27" s="11" t="s">
        <v>22</v>
      </c>
      <c r="E27" s="11" t="s">
        <v>163</v>
      </c>
      <c r="F27" s="11" t="s">
        <v>23</v>
      </c>
      <c r="G27" s="11" t="s">
        <v>64</v>
      </c>
      <c r="H27" s="131" t="s">
        <v>93</v>
      </c>
      <c r="I27" s="83" t="s">
        <v>94</v>
      </c>
      <c r="J27" s="83" t="s">
        <v>35</v>
      </c>
      <c r="K27" s="83" t="s">
        <v>33</v>
      </c>
      <c r="L27" s="83" t="s">
        <v>34</v>
      </c>
      <c r="O27" s="5" t="s">
        <v>96</v>
      </c>
      <c r="P27" s="11" t="s">
        <v>64</v>
      </c>
      <c r="Q27" s="10" t="s">
        <v>65</v>
      </c>
      <c r="R27" s="53">
        <v>1</v>
      </c>
      <c r="S27" s="54">
        <v>2</v>
      </c>
      <c r="T27" s="54">
        <v>3</v>
      </c>
      <c r="U27" s="54">
        <v>4</v>
      </c>
      <c r="V27" s="55">
        <v>5</v>
      </c>
      <c r="W27" s="53">
        <v>1</v>
      </c>
      <c r="X27" s="54">
        <v>2</v>
      </c>
      <c r="Y27" s="54">
        <v>3</v>
      </c>
      <c r="Z27" s="54">
        <v>4</v>
      </c>
      <c r="AA27" s="55">
        <v>5</v>
      </c>
      <c r="AB27" s="57" t="s">
        <v>20</v>
      </c>
      <c r="AC27" s="10"/>
    </row>
    <row r="28" spans="1:29" outlineLevel="2" x14ac:dyDescent="0.3">
      <c r="A28" s="12" t="s">
        <v>31</v>
      </c>
      <c r="B28" s="12"/>
      <c r="C28" s="26"/>
      <c r="D28" s="26">
        <v>2000</v>
      </c>
      <c r="E28" s="16">
        <v>1</v>
      </c>
      <c r="F28" s="17">
        <v>0.2</v>
      </c>
      <c r="G28" s="85" t="s">
        <v>33</v>
      </c>
      <c r="H28" s="132" t="s">
        <v>33</v>
      </c>
      <c r="I28" s="85">
        <v>1</v>
      </c>
      <c r="J28" s="36">
        <f>$O$19</f>
        <v>12</v>
      </c>
      <c r="K28" s="36">
        <f>$P$19</f>
        <v>24</v>
      </c>
      <c r="L28" s="36">
        <f>$Q$19</f>
        <v>480</v>
      </c>
      <c r="O28">
        <f>_xlfn.XLOOKUP($H28,$J$27:$L$27,$J28:$L28)</f>
        <v>24</v>
      </c>
      <c r="P28" s="10" t="s">
        <v>33</v>
      </c>
      <c r="Q28" s="86">
        <f>I28*O28</f>
        <v>24</v>
      </c>
      <c r="R28" s="19">
        <f t="shared" ref="R28:R34" si="16">$Q28*$C28*(1-$F28)</f>
        <v>0</v>
      </c>
      <c r="S28" s="19"/>
      <c r="T28" s="19"/>
      <c r="U28" s="19"/>
      <c r="V28" s="19"/>
      <c r="W28" s="19">
        <f t="shared" ref="W28:AA34" si="17">IF(W$18&lt;$E28,0,$Q28*$D28)*(1-$F28)</f>
        <v>38400</v>
      </c>
      <c r="X28" s="19">
        <f t="shared" si="17"/>
        <v>38400</v>
      </c>
      <c r="Y28" s="19">
        <f t="shared" si="17"/>
        <v>38400</v>
      </c>
      <c r="Z28" s="19">
        <f t="shared" si="17"/>
        <v>38400</v>
      </c>
      <c r="AA28" s="19">
        <f t="shared" si="17"/>
        <v>38400</v>
      </c>
      <c r="AB28" s="20">
        <f>SUM(R28:AA28)</f>
        <v>192000</v>
      </c>
    </row>
    <row r="29" spans="1:29" outlineLevel="2" x14ac:dyDescent="0.3">
      <c r="A29" s="12" t="s">
        <v>29</v>
      </c>
      <c r="B29" s="12"/>
      <c r="C29" s="26">
        <v>5000</v>
      </c>
      <c r="D29" s="27">
        <f>C29*0.2</f>
        <v>1000</v>
      </c>
      <c r="E29" s="16">
        <v>2</v>
      </c>
      <c r="F29" s="17">
        <v>0.2</v>
      </c>
      <c r="G29" s="85" t="s">
        <v>33</v>
      </c>
      <c r="H29" s="132" t="s">
        <v>33</v>
      </c>
      <c r="I29" s="85">
        <v>1</v>
      </c>
      <c r="J29" s="1">
        <f>J28</f>
        <v>12</v>
      </c>
      <c r="K29" s="1">
        <f t="shared" ref="K29:L29" si="18">K28</f>
        <v>24</v>
      </c>
      <c r="L29" s="1">
        <f t="shared" si="18"/>
        <v>480</v>
      </c>
      <c r="O29">
        <f t="shared" ref="O29:O34" si="19">_xlfn.XLOOKUP($H29,$J$27:$L$27,$J29:$L29)</f>
        <v>24</v>
      </c>
      <c r="P29" s="10" t="s">
        <v>33</v>
      </c>
      <c r="Q29" s="86">
        <f t="shared" ref="Q29:Q34" si="20">I29*O29</f>
        <v>24</v>
      </c>
      <c r="R29" s="19">
        <f t="shared" si="16"/>
        <v>96000</v>
      </c>
      <c r="S29" s="19"/>
      <c r="T29" s="19"/>
      <c r="U29" s="19"/>
      <c r="V29" s="19"/>
      <c r="W29" s="19">
        <f t="shared" si="17"/>
        <v>0</v>
      </c>
      <c r="X29" s="19">
        <f t="shared" si="17"/>
        <v>19200</v>
      </c>
      <c r="Y29" s="19">
        <f t="shared" si="17"/>
        <v>19200</v>
      </c>
      <c r="Z29" s="19">
        <f t="shared" si="17"/>
        <v>19200</v>
      </c>
      <c r="AA29" s="19">
        <f t="shared" si="17"/>
        <v>19200</v>
      </c>
      <c r="AB29" s="20">
        <f t="shared" ref="AB29:AB30" si="21">SUM(R29:AA29)</f>
        <v>172800</v>
      </c>
    </row>
    <row r="30" spans="1:29" outlineLevel="2" x14ac:dyDescent="0.3">
      <c r="A30" s="12" t="s">
        <v>30</v>
      </c>
      <c r="B30" s="12"/>
      <c r="C30" s="26">
        <f>Data!B12</f>
        <v>46.82</v>
      </c>
      <c r="D30" s="27">
        <f>Data!C12</f>
        <v>9.36</v>
      </c>
      <c r="E30" s="16">
        <f>Data!D12</f>
        <v>2</v>
      </c>
      <c r="F30" s="138">
        <v>0.75</v>
      </c>
      <c r="G30" s="85" t="str">
        <f>Data!E12</f>
        <v>PVU</v>
      </c>
      <c r="H30" s="132" t="str">
        <f>Data!F12</f>
        <v>core</v>
      </c>
      <c r="I30" s="139">
        <v>70</v>
      </c>
      <c r="J30" s="1">
        <f t="shared" ref="J30:J34" si="22">J29</f>
        <v>12</v>
      </c>
      <c r="K30" s="1">
        <f t="shared" ref="K30:K34" si="23">K29</f>
        <v>24</v>
      </c>
      <c r="L30" s="1">
        <f t="shared" ref="L30:L34" si="24">L29</f>
        <v>480</v>
      </c>
      <c r="O30">
        <f t="shared" si="19"/>
        <v>480</v>
      </c>
      <c r="P30" s="10" t="s">
        <v>95</v>
      </c>
      <c r="Q30" s="86">
        <f t="shared" si="20"/>
        <v>33600</v>
      </c>
      <c r="R30" s="19">
        <f t="shared" si="16"/>
        <v>393288</v>
      </c>
      <c r="S30" s="19"/>
      <c r="T30" s="19"/>
      <c r="U30" s="19"/>
      <c r="V30" s="19"/>
      <c r="W30" s="19">
        <f t="shared" si="17"/>
        <v>0</v>
      </c>
      <c r="X30" s="19">
        <f t="shared" si="17"/>
        <v>78624</v>
      </c>
      <c r="Y30" s="19">
        <f t="shared" si="17"/>
        <v>78624</v>
      </c>
      <c r="Z30" s="19">
        <f t="shared" si="17"/>
        <v>78624</v>
      </c>
      <c r="AA30" s="19">
        <f t="shared" si="17"/>
        <v>78624</v>
      </c>
      <c r="AB30" s="20">
        <f t="shared" si="21"/>
        <v>707784</v>
      </c>
    </row>
    <row r="31" spans="1:29" outlineLevel="2" x14ac:dyDescent="0.3">
      <c r="A31" s="12" t="s">
        <v>28</v>
      </c>
      <c r="B31" s="12"/>
      <c r="C31" s="26">
        <f>Data!B25</f>
        <v>0</v>
      </c>
      <c r="D31" s="27">
        <f>Data!C25</f>
        <v>8500</v>
      </c>
      <c r="E31" s="16">
        <f>Data!D25</f>
        <v>1</v>
      </c>
      <c r="F31" s="138">
        <v>0</v>
      </c>
      <c r="G31" s="158" t="str">
        <f>Data!E25</f>
        <v>server</v>
      </c>
      <c r="H31" s="132" t="str">
        <f>Data!F25</f>
        <v>server</v>
      </c>
      <c r="I31" s="139">
        <v>1</v>
      </c>
      <c r="J31" s="1">
        <f t="shared" si="22"/>
        <v>12</v>
      </c>
      <c r="K31" s="1">
        <f t="shared" si="23"/>
        <v>24</v>
      </c>
      <c r="L31" s="1">
        <f t="shared" si="24"/>
        <v>480</v>
      </c>
      <c r="O31">
        <f t="shared" si="19"/>
        <v>12</v>
      </c>
      <c r="P31" s="10" t="s">
        <v>34</v>
      </c>
      <c r="Q31" s="86">
        <f>I31*O31</f>
        <v>12</v>
      </c>
      <c r="R31" s="19">
        <f t="shared" si="16"/>
        <v>0</v>
      </c>
      <c r="S31" s="19"/>
      <c r="T31" s="19"/>
      <c r="U31" s="19"/>
      <c r="V31" s="19"/>
      <c r="W31" s="19">
        <f t="shared" si="17"/>
        <v>102000</v>
      </c>
      <c r="X31" s="19">
        <f t="shared" si="17"/>
        <v>102000</v>
      </c>
      <c r="Y31" s="19">
        <f t="shared" si="17"/>
        <v>102000</v>
      </c>
      <c r="Z31" s="19">
        <f t="shared" si="17"/>
        <v>102000</v>
      </c>
      <c r="AA31" s="19">
        <f t="shared" si="17"/>
        <v>102000</v>
      </c>
      <c r="AB31" s="20">
        <f>SUM(R31:AA31)</f>
        <v>510000</v>
      </c>
    </row>
    <row r="32" spans="1:29" outlineLevel="2" x14ac:dyDescent="0.3">
      <c r="A32" s="12" t="s">
        <v>110</v>
      </c>
      <c r="B32" s="12"/>
      <c r="C32" s="26"/>
      <c r="D32" s="26">
        <v>3000</v>
      </c>
      <c r="E32" s="16">
        <v>1</v>
      </c>
      <c r="F32" s="138">
        <v>0.75</v>
      </c>
      <c r="G32" s="85" t="s">
        <v>34</v>
      </c>
      <c r="H32" s="132" t="s">
        <v>34</v>
      </c>
      <c r="I32" s="139">
        <v>0.5</v>
      </c>
      <c r="J32" s="1">
        <f t="shared" si="22"/>
        <v>12</v>
      </c>
      <c r="K32" s="1">
        <f t="shared" si="23"/>
        <v>24</v>
      </c>
      <c r="L32" s="1">
        <f t="shared" si="24"/>
        <v>480</v>
      </c>
      <c r="O32">
        <f t="shared" si="19"/>
        <v>480</v>
      </c>
      <c r="P32" s="10" t="s">
        <v>34</v>
      </c>
      <c r="Q32" s="86">
        <f t="shared" si="20"/>
        <v>240</v>
      </c>
      <c r="R32" s="19">
        <f t="shared" si="16"/>
        <v>0</v>
      </c>
      <c r="S32" s="19"/>
      <c r="T32" s="19"/>
      <c r="U32" s="19"/>
      <c r="V32" s="19"/>
      <c r="W32" s="19">
        <f t="shared" si="17"/>
        <v>180000</v>
      </c>
      <c r="X32" s="19">
        <f t="shared" si="17"/>
        <v>180000</v>
      </c>
      <c r="Y32" s="19">
        <f t="shared" si="17"/>
        <v>180000</v>
      </c>
      <c r="Z32" s="19">
        <f t="shared" si="17"/>
        <v>180000</v>
      </c>
      <c r="AA32" s="19">
        <f t="shared" si="17"/>
        <v>180000</v>
      </c>
      <c r="AB32" s="20">
        <f>SUM(R32:AA32)</f>
        <v>900000</v>
      </c>
    </row>
    <row r="33" spans="1:29" outlineLevel="2" x14ac:dyDescent="0.3">
      <c r="A33" s="12" t="s">
        <v>126</v>
      </c>
      <c r="B33" s="12"/>
      <c r="C33" s="26">
        <v>5000</v>
      </c>
      <c r="D33" s="27">
        <f>C33*0.2</f>
        <v>1000</v>
      </c>
      <c r="E33" s="16">
        <v>2</v>
      </c>
      <c r="F33" s="17">
        <v>0.4</v>
      </c>
      <c r="G33" s="85" t="s">
        <v>35</v>
      </c>
      <c r="H33" s="132" t="s">
        <v>35</v>
      </c>
      <c r="I33" s="85">
        <v>1</v>
      </c>
      <c r="J33" s="1">
        <f t="shared" si="22"/>
        <v>12</v>
      </c>
      <c r="K33" s="1">
        <f t="shared" si="23"/>
        <v>24</v>
      </c>
      <c r="L33" s="1">
        <f t="shared" si="24"/>
        <v>480</v>
      </c>
      <c r="O33">
        <f t="shared" si="19"/>
        <v>12</v>
      </c>
      <c r="P33" s="10" t="s">
        <v>35</v>
      </c>
      <c r="Q33" s="86">
        <f t="shared" si="20"/>
        <v>12</v>
      </c>
      <c r="R33" s="19">
        <f t="shared" si="16"/>
        <v>36000</v>
      </c>
      <c r="S33" s="19"/>
      <c r="T33" s="19"/>
      <c r="U33" s="19"/>
      <c r="V33" s="19"/>
      <c r="W33" s="19">
        <f t="shared" si="17"/>
        <v>0</v>
      </c>
      <c r="X33" s="19">
        <f t="shared" si="17"/>
        <v>7200</v>
      </c>
      <c r="Y33" s="19">
        <f t="shared" si="17"/>
        <v>7200</v>
      </c>
      <c r="Z33" s="19">
        <f t="shared" si="17"/>
        <v>7200</v>
      </c>
      <c r="AA33" s="19">
        <f t="shared" si="17"/>
        <v>7200</v>
      </c>
      <c r="AB33" s="20">
        <f t="shared" ref="AB33:AB34" si="25">SUM(R33:AA33)</f>
        <v>64800</v>
      </c>
    </row>
    <row r="34" spans="1:29" outlineLevel="2" x14ac:dyDescent="0.3">
      <c r="A34" s="12" t="s">
        <v>127</v>
      </c>
      <c r="B34" s="12"/>
      <c r="C34" s="26">
        <v>5000</v>
      </c>
      <c r="D34" s="27">
        <f>C34*0.2</f>
        <v>1000</v>
      </c>
      <c r="E34" s="16">
        <v>2</v>
      </c>
      <c r="F34" s="17">
        <v>0.4</v>
      </c>
      <c r="G34" s="85" t="s">
        <v>35</v>
      </c>
      <c r="H34" s="132" t="s">
        <v>35</v>
      </c>
      <c r="I34" s="85">
        <v>1</v>
      </c>
      <c r="J34" s="1">
        <f t="shared" si="22"/>
        <v>12</v>
      </c>
      <c r="K34" s="1">
        <f t="shared" si="23"/>
        <v>24</v>
      </c>
      <c r="L34" s="1">
        <f t="shared" si="24"/>
        <v>480</v>
      </c>
      <c r="O34">
        <f t="shared" si="19"/>
        <v>12</v>
      </c>
      <c r="P34" s="10" t="s">
        <v>35</v>
      </c>
      <c r="Q34" s="86">
        <f t="shared" si="20"/>
        <v>12</v>
      </c>
      <c r="R34" s="19">
        <f t="shared" si="16"/>
        <v>36000</v>
      </c>
      <c r="S34" s="19"/>
      <c r="T34" s="19"/>
      <c r="U34" s="19"/>
      <c r="V34" s="19"/>
      <c r="W34" s="19">
        <f t="shared" si="17"/>
        <v>0</v>
      </c>
      <c r="X34" s="19">
        <f t="shared" si="17"/>
        <v>7200</v>
      </c>
      <c r="Y34" s="19">
        <f t="shared" si="17"/>
        <v>7200</v>
      </c>
      <c r="Z34" s="19">
        <f t="shared" si="17"/>
        <v>7200</v>
      </c>
      <c r="AA34" s="19">
        <f t="shared" si="17"/>
        <v>7200</v>
      </c>
      <c r="AB34" s="20">
        <f t="shared" si="25"/>
        <v>64800</v>
      </c>
    </row>
    <row r="35" spans="1:29" s="39" customFormat="1" outlineLevel="1" x14ac:dyDescent="0.3">
      <c r="Q35" s="64" t="s">
        <v>97</v>
      </c>
      <c r="R35" s="61">
        <f>SUM(R28:R34)</f>
        <v>561288</v>
      </c>
      <c r="S35" s="61">
        <f t="shared" ref="S35:AB35" si="26">SUM(S28:S34)</f>
        <v>0</v>
      </c>
      <c r="T35" s="61">
        <f t="shared" si="26"/>
        <v>0</v>
      </c>
      <c r="U35" s="61">
        <f t="shared" si="26"/>
        <v>0</v>
      </c>
      <c r="V35" s="61">
        <f t="shared" si="26"/>
        <v>0</v>
      </c>
      <c r="W35" s="61">
        <f t="shared" si="26"/>
        <v>320400</v>
      </c>
      <c r="X35" s="61">
        <f t="shared" si="26"/>
        <v>432624</v>
      </c>
      <c r="Y35" s="61">
        <f t="shared" si="26"/>
        <v>432624</v>
      </c>
      <c r="Z35" s="61">
        <f t="shared" si="26"/>
        <v>432624</v>
      </c>
      <c r="AA35" s="61">
        <f t="shared" si="26"/>
        <v>432624</v>
      </c>
      <c r="AB35" s="62">
        <f t="shared" si="26"/>
        <v>2612184</v>
      </c>
    </row>
    <row r="36" spans="1:29" ht="15" outlineLevel="1" thickBot="1" x14ac:dyDescent="0.35"/>
    <row r="37" spans="1:29" ht="42" customHeight="1" outlineLevel="1" thickBot="1" x14ac:dyDescent="0.35">
      <c r="A37" s="48" t="s">
        <v>7</v>
      </c>
      <c r="C37" s="11" t="s">
        <v>63</v>
      </c>
      <c r="D37" s="11" t="s">
        <v>22</v>
      </c>
      <c r="E37" s="11" t="str">
        <f>E27</f>
        <v>Starting Year of yearly charges</v>
      </c>
      <c r="F37" s="11" t="s">
        <v>23</v>
      </c>
      <c r="G37" s="11" t="s">
        <v>64</v>
      </c>
      <c r="H37" s="11" t="s">
        <v>93</v>
      </c>
      <c r="I37" s="83" t="s">
        <v>94</v>
      </c>
      <c r="J37" s="83" t="s">
        <v>35</v>
      </c>
      <c r="K37" s="83" t="s">
        <v>33</v>
      </c>
      <c r="L37" s="83" t="s">
        <v>34</v>
      </c>
      <c r="O37" s="5" t="s">
        <v>96</v>
      </c>
      <c r="P37" s="11" t="s">
        <v>64</v>
      </c>
      <c r="Q37" s="10" t="s">
        <v>65</v>
      </c>
      <c r="R37" s="53">
        <v>1</v>
      </c>
      <c r="S37" s="54">
        <v>2</v>
      </c>
      <c r="T37" s="54">
        <v>3</v>
      </c>
      <c r="U37" s="54">
        <v>4</v>
      </c>
      <c r="V37" s="55">
        <v>5</v>
      </c>
      <c r="W37" s="53">
        <v>1</v>
      </c>
      <c r="X37" s="54">
        <v>2</v>
      </c>
      <c r="Y37" s="54">
        <v>3</v>
      </c>
      <c r="Z37" s="54">
        <v>4</v>
      </c>
      <c r="AA37" s="55">
        <v>5</v>
      </c>
      <c r="AB37" s="57" t="s">
        <v>20</v>
      </c>
      <c r="AC37" s="10"/>
    </row>
    <row r="38" spans="1:29" outlineLevel="2" x14ac:dyDescent="0.3">
      <c r="A38" s="24" t="str">
        <f t="shared" ref="A38:A44" si="27">A28</f>
        <v>OS</v>
      </c>
      <c r="B38" s="24"/>
      <c r="C38" s="27">
        <f t="shared" ref="C38:I38" si="28">C28</f>
        <v>0</v>
      </c>
      <c r="D38" s="27">
        <f t="shared" si="28"/>
        <v>2000</v>
      </c>
      <c r="E38" s="28">
        <f t="shared" si="28"/>
        <v>1</v>
      </c>
      <c r="F38" s="29">
        <f t="shared" si="28"/>
        <v>0.2</v>
      </c>
      <c r="G38" s="87" t="str">
        <f t="shared" si="28"/>
        <v>socket</v>
      </c>
      <c r="H38" s="87" t="str">
        <f t="shared" si="28"/>
        <v>socket</v>
      </c>
      <c r="I38" s="85">
        <f t="shared" si="28"/>
        <v>1</v>
      </c>
      <c r="J38" s="36">
        <f>$O$20</f>
        <v>6</v>
      </c>
      <c r="K38" s="36">
        <f>$P$20</f>
        <v>12</v>
      </c>
      <c r="L38" s="36">
        <f>$Q$20</f>
        <v>240</v>
      </c>
      <c r="O38">
        <f>_xlfn.XLOOKUP($H38,$J$27:$L$27,$J38:$L38)</f>
        <v>12</v>
      </c>
      <c r="P38" s="10" t="s">
        <v>33</v>
      </c>
      <c r="Q38" s="86">
        <f>I38*O38</f>
        <v>12</v>
      </c>
      <c r="R38" s="19">
        <f t="shared" ref="R38:R44" si="29">$Q38*$C38*(1-$F38)</f>
        <v>0</v>
      </c>
      <c r="S38" s="19"/>
      <c r="T38" s="19"/>
      <c r="U38" s="19"/>
      <c r="V38" s="19"/>
      <c r="W38" s="19">
        <f t="shared" ref="W38:AA44" si="30">IF(W$18&lt;$E38,0,$Q38*$D38)*(1-$F38)</f>
        <v>19200</v>
      </c>
      <c r="X38" s="19">
        <f t="shared" si="30"/>
        <v>19200</v>
      </c>
      <c r="Y38" s="19">
        <f t="shared" si="30"/>
        <v>19200</v>
      </c>
      <c r="Z38" s="19">
        <f t="shared" si="30"/>
        <v>19200</v>
      </c>
      <c r="AA38" s="19">
        <f t="shared" si="30"/>
        <v>19200</v>
      </c>
      <c r="AB38" s="20">
        <f>SUM(R38:AA38)</f>
        <v>96000</v>
      </c>
    </row>
    <row r="39" spans="1:29" outlineLevel="2" x14ac:dyDescent="0.3">
      <c r="A39" s="24" t="str">
        <f t="shared" si="27"/>
        <v>VM</v>
      </c>
      <c r="B39" s="24"/>
      <c r="C39" s="27">
        <f t="shared" ref="C39:F44" si="31">C29</f>
        <v>5000</v>
      </c>
      <c r="D39" s="27">
        <f t="shared" si="31"/>
        <v>1000</v>
      </c>
      <c r="E39" s="28">
        <f t="shared" si="31"/>
        <v>2</v>
      </c>
      <c r="F39" s="29">
        <f t="shared" si="31"/>
        <v>0.2</v>
      </c>
      <c r="G39" s="87" t="str">
        <f t="shared" ref="G39:I44" si="32">G29</f>
        <v>socket</v>
      </c>
      <c r="H39" s="87" t="str">
        <f t="shared" si="32"/>
        <v>socket</v>
      </c>
      <c r="I39" s="85">
        <f t="shared" si="32"/>
        <v>1</v>
      </c>
      <c r="J39" s="1">
        <f>J38</f>
        <v>6</v>
      </c>
      <c r="K39" s="1">
        <f t="shared" ref="K39:K44" si="33">K38</f>
        <v>12</v>
      </c>
      <c r="L39" s="1">
        <f t="shared" ref="L39:L44" si="34">L38</f>
        <v>240</v>
      </c>
      <c r="O39">
        <f t="shared" ref="O39:O44" si="35">_xlfn.XLOOKUP($H39,$J$27:$L$27,$J39:$L39)</f>
        <v>12</v>
      </c>
      <c r="P39" s="10" t="s">
        <v>33</v>
      </c>
      <c r="Q39" s="86">
        <f t="shared" ref="Q39:Q44" si="36">I39*O39</f>
        <v>12</v>
      </c>
      <c r="R39" s="19">
        <f t="shared" si="29"/>
        <v>48000</v>
      </c>
      <c r="S39" s="19"/>
      <c r="T39" s="19"/>
      <c r="U39" s="19"/>
      <c r="V39" s="19"/>
      <c r="W39" s="19">
        <f t="shared" si="30"/>
        <v>0</v>
      </c>
      <c r="X39" s="19">
        <f t="shared" si="30"/>
        <v>9600</v>
      </c>
      <c r="Y39" s="19">
        <f t="shared" si="30"/>
        <v>9600</v>
      </c>
      <c r="Z39" s="19">
        <f t="shared" si="30"/>
        <v>9600</v>
      </c>
      <c r="AA39" s="19">
        <f t="shared" si="30"/>
        <v>9600</v>
      </c>
      <c r="AB39" s="20">
        <f t="shared" ref="AB39:AB40" si="37">SUM(R39:AA39)</f>
        <v>86400</v>
      </c>
    </row>
    <row r="40" spans="1:29" outlineLevel="2" x14ac:dyDescent="0.3">
      <c r="A40" s="24" t="str">
        <f t="shared" si="27"/>
        <v>Application Server</v>
      </c>
      <c r="B40" s="24"/>
      <c r="C40" s="27">
        <f t="shared" si="31"/>
        <v>46.82</v>
      </c>
      <c r="D40" s="27">
        <f t="shared" si="31"/>
        <v>9.36</v>
      </c>
      <c r="E40" s="28">
        <f t="shared" si="31"/>
        <v>2</v>
      </c>
      <c r="F40" s="29">
        <f t="shared" si="31"/>
        <v>0.75</v>
      </c>
      <c r="G40" s="87" t="str">
        <f t="shared" si="32"/>
        <v>PVU</v>
      </c>
      <c r="H40" s="87" t="str">
        <f t="shared" si="32"/>
        <v>core</v>
      </c>
      <c r="I40" s="85">
        <f>I30</f>
        <v>70</v>
      </c>
      <c r="J40" s="1">
        <f t="shared" ref="J40:J44" si="38">J39</f>
        <v>6</v>
      </c>
      <c r="K40" s="1">
        <f t="shared" si="33"/>
        <v>12</v>
      </c>
      <c r="L40" s="1">
        <f t="shared" si="34"/>
        <v>240</v>
      </c>
      <c r="O40">
        <f t="shared" si="35"/>
        <v>240</v>
      </c>
      <c r="P40" s="10" t="s">
        <v>95</v>
      </c>
      <c r="Q40" s="86">
        <f t="shared" si="36"/>
        <v>16800</v>
      </c>
      <c r="R40" s="19">
        <f t="shared" si="29"/>
        <v>196644</v>
      </c>
      <c r="S40" s="19"/>
      <c r="T40" s="19"/>
      <c r="U40" s="19"/>
      <c r="V40" s="19"/>
      <c r="W40" s="19">
        <f t="shared" si="30"/>
        <v>0</v>
      </c>
      <c r="X40" s="19">
        <f t="shared" si="30"/>
        <v>39312</v>
      </c>
      <c r="Y40" s="19">
        <f t="shared" si="30"/>
        <v>39312</v>
      </c>
      <c r="Z40" s="19">
        <f t="shared" si="30"/>
        <v>39312</v>
      </c>
      <c r="AA40" s="19">
        <f t="shared" si="30"/>
        <v>39312</v>
      </c>
      <c r="AB40" s="20">
        <f t="shared" si="37"/>
        <v>353892</v>
      </c>
    </row>
    <row r="41" spans="1:29" outlineLevel="2" x14ac:dyDescent="0.3">
      <c r="A41" s="24" t="str">
        <f t="shared" si="27"/>
        <v>DB</v>
      </c>
      <c r="B41" s="24"/>
      <c r="C41" s="27">
        <f t="shared" si="31"/>
        <v>0</v>
      </c>
      <c r="D41" s="27">
        <f t="shared" si="31"/>
        <v>8500</v>
      </c>
      <c r="E41" s="28">
        <f t="shared" si="31"/>
        <v>1</v>
      </c>
      <c r="F41" s="29">
        <f t="shared" si="31"/>
        <v>0</v>
      </c>
      <c r="G41" s="87" t="str">
        <f t="shared" si="32"/>
        <v>server</v>
      </c>
      <c r="H41" s="87" t="str">
        <f t="shared" si="32"/>
        <v>server</v>
      </c>
      <c r="I41" s="85">
        <f t="shared" si="32"/>
        <v>1</v>
      </c>
      <c r="J41" s="1">
        <f t="shared" si="38"/>
        <v>6</v>
      </c>
      <c r="K41" s="1">
        <f t="shared" si="33"/>
        <v>12</v>
      </c>
      <c r="L41" s="1">
        <f t="shared" si="34"/>
        <v>240</v>
      </c>
      <c r="O41">
        <f t="shared" si="35"/>
        <v>6</v>
      </c>
      <c r="P41" s="10" t="s">
        <v>34</v>
      </c>
      <c r="Q41" s="86">
        <f t="shared" si="36"/>
        <v>6</v>
      </c>
      <c r="R41" s="19">
        <f t="shared" si="29"/>
        <v>0</v>
      </c>
      <c r="S41" s="19"/>
      <c r="T41" s="19"/>
      <c r="U41" s="19"/>
      <c r="V41" s="19"/>
      <c r="W41" s="19">
        <f t="shared" si="30"/>
        <v>51000</v>
      </c>
      <c r="X41" s="19">
        <f t="shared" si="30"/>
        <v>51000</v>
      </c>
      <c r="Y41" s="19">
        <f t="shared" si="30"/>
        <v>51000</v>
      </c>
      <c r="Z41" s="19">
        <f t="shared" si="30"/>
        <v>51000</v>
      </c>
      <c r="AA41" s="19">
        <f t="shared" si="30"/>
        <v>51000</v>
      </c>
      <c r="AB41" s="20">
        <f>SUM(R41:AA41)</f>
        <v>255000</v>
      </c>
    </row>
    <row r="42" spans="1:29" outlineLevel="2" x14ac:dyDescent="0.3">
      <c r="A42" s="24" t="str">
        <f t="shared" si="27"/>
        <v>Data Replication Tools</v>
      </c>
      <c r="B42" s="24"/>
      <c r="C42" s="27">
        <f t="shared" si="31"/>
        <v>0</v>
      </c>
      <c r="D42" s="27">
        <f t="shared" si="31"/>
        <v>3000</v>
      </c>
      <c r="E42" s="28">
        <f t="shared" si="31"/>
        <v>1</v>
      </c>
      <c r="F42" s="29">
        <f t="shared" si="31"/>
        <v>0.75</v>
      </c>
      <c r="G42" s="87" t="str">
        <f t="shared" si="32"/>
        <v>core</v>
      </c>
      <c r="H42" s="87" t="str">
        <f t="shared" si="32"/>
        <v>core</v>
      </c>
      <c r="I42" s="85">
        <f t="shared" si="32"/>
        <v>0.5</v>
      </c>
      <c r="J42" s="1">
        <f t="shared" si="38"/>
        <v>6</v>
      </c>
      <c r="K42" s="1">
        <f t="shared" si="33"/>
        <v>12</v>
      </c>
      <c r="L42" s="1">
        <f t="shared" si="34"/>
        <v>240</v>
      </c>
      <c r="O42">
        <f t="shared" si="35"/>
        <v>240</v>
      </c>
      <c r="P42" s="10" t="s">
        <v>34</v>
      </c>
      <c r="Q42" s="86">
        <f t="shared" si="36"/>
        <v>120</v>
      </c>
      <c r="R42" s="19">
        <f t="shared" si="29"/>
        <v>0</v>
      </c>
      <c r="S42" s="19"/>
      <c r="T42" s="19"/>
      <c r="U42" s="19"/>
      <c r="V42" s="19"/>
      <c r="W42" s="19">
        <f t="shared" si="30"/>
        <v>90000</v>
      </c>
      <c r="X42" s="19">
        <f t="shared" si="30"/>
        <v>90000</v>
      </c>
      <c r="Y42" s="19">
        <f t="shared" si="30"/>
        <v>90000</v>
      </c>
      <c r="Z42" s="19">
        <f t="shared" si="30"/>
        <v>90000</v>
      </c>
      <c r="AA42" s="19">
        <f t="shared" si="30"/>
        <v>90000</v>
      </c>
      <c r="AB42" s="20">
        <f>SUM(R42:AA42)</f>
        <v>450000</v>
      </c>
    </row>
    <row r="43" spans="1:29" outlineLevel="2" x14ac:dyDescent="0.3">
      <c r="A43" s="24" t="str">
        <f t="shared" si="27"/>
        <v>Monitoring Tools</v>
      </c>
      <c r="B43" s="24"/>
      <c r="C43" s="27">
        <f t="shared" si="31"/>
        <v>5000</v>
      </c>
      <c r="D43" s="27">
        <f t="shared" si="31"/>
        <v>1000</v>
      </c>
      <c r="E43" s="28">
        <f t="shared" si="31"/>
        <v>2</v>
      </c>
      <c r="F43" s="29">
        <f t="shared" si="31"/>
        <v>0.4</v>
      </c>
      <c r="G43" s="87" t="str">
        <f t="shared" si="32"/>
        <v>server</v>
      </c>
      <c r="H43" s="87" t="str">
        <f t="shared" si="32"/>
        <v>server</v>
      </c>
      <c r="I43" s="85">
        <f t="shared" si="32"/>
        <v>1</v>
      </c>
      <c r="J43" s="1">
        <f t="shared" si="38"/>
        <v>6</v>
      </c>
      <c r="K43" s="1">
        <f t="shared" si="33"/>
        <v>12</v>
      </c>
      <c r="L43" s="1">
        <f t="shared" si="34"/>
        <v>240</v>
      </c>
      <c r="O43">
        <f t="shared" si="35"/>
        <v>6</v>
      </c>
      <c r="P43" s="10" t="s">
        <v>35</v>
      </c>
      <c r="Q43" s="86">
        <f t="shared" si="36"/>
        <v>6</v>
      </c>
      <c r="R43" s="19">
        <f t="shared" si="29"/>
        <v>18000</v>
      </c>
      <c r="S43" s="19"/>
      <c r="T43" s="19"/>
      <c r="U43" s="19"/>
      <c r="V43" s="19"/>
      <c r="W43" s="19">
        <f t="shared" si="30"/>
        <v>0</v>
      </c>
      <c r="X43" s="19">
        <f t="shared" si="30"/>
        <v>3600</v>
      </c>
      <c r="Y43" s="19">
        <f t="shared" si="30"/>
        <v>3600</v>
      </c>
      <c r="Z43" s="19">
        <f t="shared" si="30"/>
        <v>3600</v>
      </c>
      <c r="AA43" s="19">
        <f t="shared" si="30"/>
        <v>3600</v>
      </c>
      <c r="AB43" s="20">
        <f t="shared" ref="AB43:AB44" si="39">SUM(R43:AA43)</f>
        <v>32400</v>
      </c>
    </row>
    <row r="44" spans="1:29" outlineLevel="2" x14ac:dyDescent="0.3">
      <c r="A44" s="24" t="str">
        <f t="shared" si="27"/>
        <v>Security Tools</v>
      </c>
      <c r="B44" s="24"/>
      <c r="C44" s="27">
        <f t="shared" si="31"/>
        <v>5000</v>
      </c>
      <c r="D44" s="27">
        <f t="shared" si="31"/>
        <v>1000</v>
      </c>
      <c r="E44" s="28">
        <f t="shared" si="31"/>
        <v>2</v>
      </c>
      <c r="F44" s="29">
        <f t="shared" si="31"/>
        <v>0.4</v>
      </c>
      <c r="G44" s="87" t="str">
        <f t="shared" si="32"/>
        <v>server</v>
      </c>
      <c r="H44" s="87" t="str">
        <f t="shared" si="32"/>
        <v>server</v>
      </c>
      <c r="I44" s="85">
        <f t="shared" si="32"/>
        <v>1</v>
      </c>
      <c r="J44" s="1">
        <f t="shared" si="38"/>
        <v>6</v>
      </c>
      <c r="K44" s="1">
        <f t="shared" si="33"/>
        <v>12</v>
      </c>
      <c r="L44" s="1">
        <f t="shared" si="34"/>
        <v>240</v>
      </c>
      <c r="O44">
        <f t="shared" si="35"/>
        <v>6</v>
      </c>
      <c r="P44" s="10" t="s">
        <v>35</v>
      </c>
      <c r="Q44" s="86">
        <f t="shared" si="36"/>
        <v>6</v>
      </c>
      <c r="R44" s="19">
        <f t="shared" si="29"/>
        <v>18000</v>
      </c>
      <c r="S44" s="19"/>
      <c r="T44" s="19"/>
      <c r="U44" s="19"/>
      <c r="V44" s="19"/>
      <c r="W44" s="19">
        <f t="shared" si="30"/>
        <v>0</v>
      </c>
      <c r="X44" s="19">
        <f t="shared" si="30"/>
        <v>3600</v>
      </c>
      <c r="Y44" s="19">
        <f t="shared" si="30"/>
        <v>3600</v>
      </c>
      <c r="Z44" s="19">
        <f t="shared" si="30"/>
        <v>3600</v>
      </c>
      <c r="AA44" s="19">
        <f t="shared" si="30"/>
        <v>3600</v>
      </c>
      <c r="AB44" s="20">
        <f t="shared" si="39"/>
        <v>32400</v>
      </c>
    </row>
    <row r="45" spans="1:29" s="39" customFormat="1" outlineLevel="1" x14ac:dyDescent="0.3">
      <c r="Q45" s="64" t="s">
        <v>98</v>
      </c>
      <c r="R45" s="61">
        <f>SUM(R38:R44)</f>
        <v>280644</v>
      </c>
      <c r="S45" s="61">
        <f t="shared" ref="S45" si="40">SUM(S38:S44)</f>
        <v>0</v>
      </c>
      <c r="T45" s="61">
        <f t="shared" ref="T45" si="41">SUM(T38:T44)</f>
        <v>0</v>
      </c>
      <c r="U45" s="61">
        <f t="shared" ref="U45" si="42">SUM(U38:U44)</f>
        <v>0</v>
      </c>
      <c r="V45" s="61">
        <f t="shared" ref="V45" si="43">SUM(V38:V44)</f>
        <v>0</v>
      </c>
      <c r="W45" s="61">
        <f t="shared" ref="W45" si="44">SUM(W38:W44)</f>
        <v>160200</v>
      </c>
      <c r="X45" s="61">
        <f t="shared" ref="X45" si="45">SUM(X38:X44)</f>
        <v>216312</v>
      </c>
      <c r="Y45" s="61">
        <f t="shared" ref="Y45" si="46">SUM(Y38:Y44)</f>
        <v>216312</v>
      </c>
      <c r="Z45" s="61">
        <f t="shared" ref="Z45" si="47">SUM(Z38:Z44)</f>
        <v>216312</v>
      </c>
      <c r="AA45" s="61">
        <f t="shared" ref="AA45" si="48">SUM(AA38:AA44)</f>
        <v>216312</v>
      </c>
      <c r="AB45" s="62">
        <f t="shared" ref="AB45" si="49">SUM(AB38:AB44)</f>
        <v>1306092</v>
      </c>
    </row>
    <row r="46" spans="1:29" ht="15" outlineLevel="1" thickBot="1" x14ac:dyDescent="0.35"/>
    <row r="47" spans="1:29" ht="37.5" customHeight="1" outlineLevel="1" thickBot="1" x14ac:dyDescent="0.35">
      <c r="A47" s="48" t="s">
        <v>8</v>
      </c>
      <c r="C47" s="11" t="s">
        <v>63</v>
      </c>
      <c r="D47" s="11" t="s">
        <v>22</v>
      </c>
      <c r="E47" s="11" t="str">
        <f>E37</f>
        <v>Starting Year of yearly charges</v>
      </c>
      <c r="F47" s="11" t="s">
        <v>23</v>
      </c>
      <c r="G47" s="11" t="s">
        <v>64</v>
      </c>
      <c r="H47" s="11" t="s">
        <v>93</v>
      </c>
      <c r="I47" s="83" t="s">
        <v>94</v>
      </c>
      <c r="J47" s="83" t="s">
        <v>35</v>
      </c>
      <c r="K47" s="83" t="s">
        <v>33</v>
      </c>
      <c r="L47" s="83" t="s">
        <v>34</v>
      </c>
      <c r="O47" s="5" t="s">
        <v>96</v>
      </c>
      <c r="P47" s="11" t="s">
        <v>64</v>
      </c>
      <c r="Q47" s="10" t="s">
        <v>65</v>
      </c>
      <c r="R47" s="53">
        <v>1</v>
      </c>
      <c r="S47" s="54">
        <v>2</v>
      </c>
      <c r="T47" s="54">
        <v>3</v>
      </c>
      <c r="U47" s="54">
        <v>4</v>
      </c>
      <c r="V47" s="55">
        <v>5</v>
      </c>
      <c r="W47" s="53">
        <v>1</v>
      </c>
      <c r="X47" s="54">
        <v>2</v>
      </c>
      <c r="Y47" s="54">
        <v>3</v>
      </c>
      <c r="Z47" s="54">
        <v>4</v>
      </c>
      <c r="AA47" s="55">
        <v>5</v>
      </c>
      <c r="AB47" s="57" t="s">
        <v>20</v>
      </c>
      <c r="AC47" s="10"/>
    </row>
    <row r="48" spans="1:29" outlineLevel="2" x14ac:dyDescent="0.3">
      <c r="A48" s="24" t="str">
        <f t="shared" ref="A48:A54" si="50">A28</f>
        <v>OS</v>
      </c>
      <c r="B48" s="24"/>
      <c r="C48" s="27">
        <f t="shared" ref="C48:F54" si="51">C28</f>
        <v>0</v>
      </c>
      <c r="D48" s="27">
        <f t="shared" si="51"/>
        <v>2000</v>
      </c>
      <c r="E48" s="28">
        <f t="shared" si="51"/>
        <v>1</v>
      </c>
      <c r="F48" s="29">
        <f t="shared" si="51"/>
        <v>0.2</v>
      </c>
      <c r="G48" s="87" t="str">
        <f>G38</f>
        <v>socket</v>
      </c>
      <c r="H48" s="87" t="str">
        <f>H38</f>
        <v>socket</v>
      </c>
      <c r="I48" s="87">
        <f>I38</f>
        <v>1</v>
      </c>
      <c r="J48" s="36">
        <f>$O$21</f>
        <v>6</v>
      </c>
      <c r="K48" s="36">
        <f>$P$21</f>
        <v>12</v>
      </c>
      <c r="L48" s="36">
        <f>$Q$21</f>
        <v>240</v>
      </c>
      <c r="O48">
        <f>_xlfn.XLOOKUP($H48,$J$27:$L$27,$J48:$L48)</f>
        <v>12</v>
      </c>
      <c r="P48" s="10" t="s">
        <v>33</v>
      </c>
      <c r="Q48" s="86">
        <f>I48*O48</f>
        <v>12</v>
      </c>
      <c r="R48" s="19">
        <f t="shared" ref="R48:R54" si="52">$Q48*$C48*(1-$F48)</f>
        <v>0</v>
      </c>
      <c r="S48" s="19"/>
      <c r="T48" s="19"/>
      <c r="U48" s="19"/>
      <c r="V48" s="19"/>
      <c r="W48" s="19">
        <f t="shared" ref="W48:AA54" si="53">IF(W$18&lt;$E48,0,$Q48*$D48)*(1-$F48)</f>
        <v>19200</v>
      </c>
      <c r="X48" s="19">
        <f t="shared" si="53"/>
        <v>19200</v>
      </c>
      <c r="Y48" s="19">
        <f t="shared" si="53"/>
        <v>19200</v>
      </c>
      <c r="Z48" s="19">
        <f t="shared" si="53"/>
        <v>19200</v>
      </c>
      <c r="AA48" s="19">
        <f t="shared" si="53"/>
        <v>19200</v>
      </c>
      <c r="AB48" s="20">
        <f>SUM(R48:AA48)</f>
        <v>96000</v>
      </c>
    </row>
    <row r="49" spans="1:29" outlineLevel="2" x14ac:dyDescent="0.3">
      <c r="A49" s="24" t="str">
        <f t="shared" si="50"/>
        <v>VM</v>
      </c>
      <c r="B49" s="24"/>
      <c r="C49" s="27">
        <f t="shared" si="51"/>
        <v>5000</v>
      </c>
      <c r="D49" s="27">
        <f t="shared" si="51"/>
        <v>1000</v>
      </c>
      <c r="E49" s="28">
        <f t="shared" si="51"/>
        <v>2</v>
      </c>
      <c r="F49" s="29">
        <f t="shared" si="51"/>
        <v>0.2</v>
      </c>
      <c r="G49" s="87" t="str">
        <f t="shared" ref="G49:I49" si="54">G39</f>
        <v>socket</v>
      </c>
      <c r="H49" s="87" t="str">
        <f t="shared" si="54"/>
        <v>socket</v>
      </c>
      <c r="I49" s="87">
        <f t="shared" si="54"/>
        <v>1</v>
      </c>
      <c r="J49" s="1">
        <f>J48</f>
        <v>6</v>
      </c>
      <c r="K49" s="1">
        <f t="shared" ref="K49:K54" si="55">K48</f>
        <v>12</v>
      </c>
      <c r="L49" s="1">
        <f t="shared" ref="L49:L54" si="56">L48</f>
        <v>240</v>
      </c>
      <c r="O49">
        <f t="shared" ref="O49:O54" si="57">_xlfn.XLOOKUP($H49,$J$27:$L$27,$J49:$L49)</f>
        <v>12</v>
      </c>
      <c r="P49" s="10" t="s">
        <v>33</v>
      </c>
      <c r="Q49" s="86">
        <f t="shared" ref="Q49:Q54" si="58">I49*O49</f>
        <v>12</v>
      </c>
      <c r="R49" s="19">
        <f t="shared" si="52"/>
        <v>48000</v>
      </c>
      <c r="S49" s="19"/>
      <c r="T49" s="19"/>
      <c r="U49" s="19"/>
      <c r="V49" s="19"/>
      <c r="W49" s="19">
        <f t="shared" si="53"/>
        <v>0</v>
      </c>
      <c r="X49" s="19">
        <f t="shared" si="53"/>
        <v>9600</v>
      </c>
      <c r="Y49" s="19">
        <f t="shared" si="53"/>
        <v>9600</v>
      </c>
      <c r="Z49" s="19">
        <f t="shared" si="53"/>
        <v>9600</v>
      </c>
      <c r="AA49" s="19">
        <f t="shared" si="53"/>
        <v>9600</v>
      </c>
      <c r="AB49" s="20">
        <f t="shared" ref="AB49:AB50" si="59">SUM(R49:AA49)</f>
        <v>86400</v>
      </c>
    </row>
    <row r="50" spans="1:29" outlineLevel="2" x14ac:dyDescent="0.3">
      <c r="A50" s="24" t="str">
        <f t="shared" si="50"/>
        <v>Application Server</v>
      </c>
      <c r="B50" s="24"/>
      <c r="C50" s="27">
        <f t="shared" si="51"/>
        <v>46.82</v>
      </c>
      <c r="D50" s="27">
        <f t="shared" si="51"/>
        <v>9.36</v>
      </c>
      <c r="E50" s="28">
        <f t="shared" si="51"/>
        <v>2</v>
      </c>
      <c r="F50" s="29">
        <f t="shared" si="51"/>
        <v>0.75</v>
      </c>
      <c r="G50" s="87" t="str">
        <f t="shared" ref="G50:I50" si="60">G40</f>
        <v>PVU</v>
      </c>
      <c r="H50" s="87" t="str">
        <f t="shared" si="60"/>
        <v>core</v>
      </c>
      <c r="I50" s="87">
        <f t="shared" si="60"/>
        <v>70</v>
      </c>
      <c r="J50" s="1">
        <f t="shared" ref="J50:J54" si="61">J49</f>
        <v>6</v>
      </c>
      <c r="K50" s="1">
        <f t="shared" si="55"/>
        <v>12</v>
      </c>
      <c r="L50" s="1">
        <f t="shared" si="56"/>
        <v>240</v>
      </c>
      <c r="O50">
        <f t="shared" si="57"/>
        <v>240</v>
      </c>
      <c r="P50" s="10" t="s">
        <v>95</v>
      </c>
      <c r="Q50" s="86">
        <f t="shared" si="58"/>
        <v>16800</v>
      </c>
      <c r="R50" s="19">
        <f t="shared" si="52"/>
        <v>196644</v>
      </c>
      <c r="S50" s="19"/>
      <c r="T50" s="19"/>
      <c r="U50" s="19"/>
      <c r="V50" s="19"/>
      <c r="W50" s="19">
        <f t="shared" si="53"/>
        <v>0</v>
      </c>
      <c r="X50" s="19">
        <f t="shared" si="53"/>
        <v>39312</v>
      </c>
      <c r="Y50" s="19">
        <f t="shared" si="53"/>
        <v>39312</v>
      </c>
      <c r="Z50" s="19">
        <f t="shared" si="53"/>
        <v>39312</v>
      </c>
      <c r="AA50" s="19">
        <f t="shared" si="53"/>
        <v>39312</v>
      </c>
      <c r="AB50" s="20">
        <f t="shared" si="59"/>
        <v>353892</v>
      </c>
    </row>
    <row r="51" spans="1:29" outlineLevel="2" x14ac:dyDescent="0.3">
      <c r="A51" s="24" t="str">
        <f t="shared" si="50"/>
        <v>DB</v>
      </c>
      <c r="B51" s="24"/>
      <c r="C51" s="27">
        <f t="shared" si="51"/>
        <v>0</v>
      </c>
      <c r="D51" s="27">
        <f t="shared" si="51"/>
        <v>8500</v>
      </c>
      <c r="E51" s="28">
        <f t="shared" si="51"/>
        <v>1</v>
      </c>
      <c r="F51" s="29">
        <f t="shared" si="51"/>
        <v>0</v>
      </c>
      <c r="G51" s="87" t="str">
        <f t="shared" ref="G51:I51" si="62">G41</f>
        <v>server</v>
      </c>
      <c r="H51" s="87" t="str">
        <f t="shared" si="62"/>
        <v>server</v>
      </c>
      <c r="I51" s="87">
        <f t="shared" si="62"/>
        <v>1</v>
      </c>
      <c r="J51" s="1">
        <f t="shared" si="61"/>
        <v>6</v>
      </c>
      <c r="K51" s="1">
        <f t="shared" si="55"/>
        <v>12</v>
      </c>
      <c r="L51" s="1">
        <f t="shared" si="56"/>
        <v>240</v>
      </c>
      <c r="O51">
        <f t="shared" si="57"/>
        <v>6</v>
      </c>
      <c r="P51" s="10" t="s">
        <v>34</v>
      </c>
      <c r="Q51" s="86">
        <f t="shared" si="58"/>
        <v>6</v>
      </c>
      <c r="R51" s="19">
        <f t="shared" si="52"/>
        <v>0</v>
      </c>
      <c r="S51" s="19"/>
      <c r="T51" s="19"/>
      <c r="U51" s="19"/>
      <c r="V51" s="19"/>
      <c r="W51" s="19">
        <f t="shared" si="53"/>
        <v>51000</v>
      </c>
      <c r="X51" s="19">
        <f t="shared" si="53"/>
        <v>51000</v>
      </c>
      <c r="Y51" s="19">
        <f t="shared" si="53"/>
        <v>51000</v>
      </c>
      <c r="Z51" s="19">
        <f t="shared" si="53"/>
        <v>51000</v>
      </c>
      <c r="AA51" s="19">
        <f t="shared" si="53"/>
        <v>51000</v>
      </c>
      <c r="AB51" s="20">
        <f>SUM(R51:AA51)</f>
        <v>255000</v>
      </c>
    </row>
    <row r="52" spans="1:29" outlineLevel="2" x14ac:dyDescent="0.3">
      <c r="A52" s="24" t="str">
        <f t="shared" si="50"/>
        <v>Data Replication Tools</v>
      </c>
      <c r="B52" s="24"/>
      <c r="C52" s="27">
        <f t="shared" si="51"/>
        <v>0</v>
      </c>
      <c r="D52" s="27">
        <f t="shared" si="51"/>
        <v>3000</v>
      </c>
      <c r="E52" s="28">
        <f t="shared" si="51"/>
        <v>1</v>
      </c>
      <c r="F52" s="29">
        <f t="shared" si="51"/>
        <v>0.75</v>
      </c>
      <c r="G52" s="87" t="str">
        <f t="shared" ref="G52:I52" si="63">G42</f>
        <v>core</v>
      </c>
      <c r="H52" s="87" t="str">
        <f t="shared" si="63"/>
        <v>core</v>
      </c>
      <c r="I52" s="87">
        <f t="shared" si="63"/>
        <v>0.5</v>
      </c>
      <c r="J52" s="1">
        <f t="shared" si="61"/>
        <v>6</v>
      </c>
      <c r="K52" s="1">
        <f t="shared" si="55"/>
        <v>12</v>
      </c>
      <c r="L52" s="1">
        <f t="shared" si="56"/>
        <v>240</v>
      </c>
      <c r="O52">
        <f t="shared" si="57"/>
        <v>240</v>
      </c>
      <c r="P52" s="10" t="s">
        <v>34</v>
      </c>
      <c r="Q52" s="86">
        <f t="shared" si="58"/>
        <v>120</v>
      </c>
      <c r="R52" s="19">
        <f t="shared" si="52"/>
        <v>0</v>
      </c>
      <c r="S52" s="19"/>
      <c r="T52" s="19"/>
      <c r="U52" s="19"/>
      <c r="V52" s="19"/>
      <c r="W52" s="19">
        <f t="shared" si="53"/>
        <v>90000</v>
      </c>
      <c r="X52" s="19">
        <f t="shared" si="53"/>
        <v>90000</v>
      </c>
      <c r="Y52" s="19">
        <f t="shared" si="53"/>
        <v>90000</v>
      </c>
      <c r="Z52" s="19">
        <f t="shared" si="53"/>
        <v>90000</v>
      </c>
      <c r="AA52" s="19">
        <f t="shared" si="53"/>
        <v>90000</v>
      </c>
      <c r="AB52" s="20">
        <f>SUM(R52:AA52)</f>
        <v>450000</v>
      </c>
    </row>
    <row r="53" spans="1:29" outlineLevel="2" x14ac:dyDescent="0.3">
      <c r="A53" s="24" t="str">
        <f t="shared" si="50"/>
        <v>Monitoring Tools</v>
      </c>
      <c r="B53" s="24"/>
      <c r="C53" s="27">
        <f t="shared" si="51"/>
        <v>5000</v>
      </c>
      <c r="D53" s="27">
        <f t="shared" si="51"/>
        <v>1000</v>
      </c>
      <c r="E53" s="28">
        <f t="shared" si="51"/>
        <v>2</v>
      </c>
      <c r="F53" s="29">
        <f t="shared" si="51"/>
        <v>0.4</v>
      </c>
      <c r="G53" s="87" t="str">
        <f t="shared" ref="G53:I53" si="64">G43</f>
        <v>server</v>
      </c>
      <c r="H53" s="87" t="str">
        <f t="shared" si="64"/>
        <v>server</v>
      </c>
      <c r="I53" s="87">
        <f t="shared" si="64"/>
        <v>1</v>
      </c>
      <c r="J53" s="1">
        <f t="shared" si="61"/>
        <v>6</v>
      </c>
      <c r="K53" s="1">
        <f t="shared" si="55"/>
        <v>12</v>
      </c>
      <c r="L53" s="1">
        <f t="shared" si="56"/>
        <v>240</v>
      </c>
      <c r="O53">
        <f t="shared" si="57"/>
        <v>6</v>
      </c>
      <c r="P53" s="10" t="s">
        <v>35</v>
      </c>
      <c r="Q53" s="86">
        <f t="shared" si="58"/>
        <v>6</v>
      </c>
      <c r="R53" s="19">
        <f t="shared" si="52"/>
        <v>18000</v>
      </c>
      <c r="S53" s="19"/>
      <c r="T53" s="19"/>
      <c r="U53" s="19"/>
      <c r="V53" s="19"/>
      <c r="W53" s="19">
        <f t="shared" si="53"/>
        <v>0</v>
      </c>
      <c r="X53" s="19">
        <f t="shared" si="53"/>
        <v>3600</v>
      </c>
      <c r="Y53" s="19">
        <f t="shared" si="53"/>
        <v>3600</v>
      </c>
      <c r="Z53" s="19">
        <f t="shared" si="53"/>
        <v>3600</v>
      </c>
      <c r="AA53" s="19">
        <f t="shared" si="53"/>
        <v>3600</v>
      </c>
      <c r="AB53" s="20">
        <f t="shared" ref="AB53:AB54" si="65">SUM(R53:AA53)</f>
        <v>32400</v>
      </c>
    </row>
    <row r="54" spans="1:29" outlineLevel="2" x14ac:dyDescent="0.3">
      <c r="A54" s="24" t="str">
        <f t="shared" si="50"/>
        <v>Security Tools</v>
      </c>
      <c r="B54" s="24"/>
      <c r="C54" s="27">
        <f t="shared" si="51"/>
        <v>5000</v>
      </c>
      <c r="D54" s="27">
        <f t="shared" si="51"/>
        <v>1000</v>
      </c>
      <c r="E54" s="28">
        <f t="shared" si="51"/>
        <v>2</v>
      </c>
      <c r="F54" s="29">
        <f t="shared" si="51"/>
        <v>0.4</v>
      </c>
      <c r="G54" s="87" t="str">
        <f t="shared" ref="G54:I54" si="66">G44</f>
        <v>server</v>
      </c>
      <c r="H54" s="87" t="str">
        <f t="shared" si="66"/>
        <v>server</v>
      </c>
      <c r="I54" s="87">
        <f t="shared" si="66"/>
        <v>1</v>
      </c>
      <c r="J54" s="1">
        <f t="shared" si="61"/>
        <v>6</v>
      </c>
      <c r="K54" s="1">
        <f t="shared" si="55"/>
        <v>12</v>
      </c>
      <c r="L54" s="1">
        <f t="shared" si="56"/>
        <v>240</v>
      </c>
      <c r="O54">
        <f t="shared" si="57"/>
        <v>6</v>
      </c>
      <c r="P54" s="10" t="s">
        <v>35</v>
      </c>
      <c r="Q54" s="86">
        <f t="shared" si="58"/>
        <v>6</v>
      </c>
      <c r="R54" s="19">
        <f t="shared" si="52"/>
        <v>18000</v>
      </c>
      <c r="S54" s="19"/>
      <c r="T54" s="19"/>
      <c r="U54" s="19"/>
      <c r="V54" s="19"/>
      <c r="W54" s="19">
        <f t="shared" si="53"/>
        <v>0</v>
      </c>
      <c r="X54" s="19">
        <f t="shared" si="53"/>
        <v>3600</v>
      </c>
      <c r="Y54" s="19">
        <f t="shared" si="53"/>
        <v>3600</v>
      </c>
      <c r="Z54" s="19">
        <f t="shared" si="53"/>
        <v>3600</v>
      </c>
      <c r="AA54" s="19">
        <f t="shared" si="53"/>
        <v>3600</v>
      </c>
      <c r="AB54" s="20">
        <f t="shared" si="65"/>
        <v>32400</v>
      </c>
    </row>
    <row r="55" spans="1:29" s="39" customFormat="1" outlineLevel="1" x14ac:dyDescent="0.3">
      <c r="Q55" s="64" t="s">
        <v>8</v>
      </c>
      <c r="R55" s="61">
        <f>SUM(R48:R54)</f>
        <v>280644</v>
      </c>
      <c r="S55" s="61">
        <f t="shared" ref="S55" si="67">SUM(S48:S54)</f>
        <v>0</v>
      </c>
      <c r="T55" s="61">
        <f t="shared" ref="T55" si="68">SUM(T48:T54)</f>
        <v>0</v>
      </c>
      <c r="U55" s="61">
        <f t="shared" ref="U55" si="69">SUM(U48:U54)</f>
        <v>0</v>
      </c>
      <c r="V55" s="61">
        <f t="shared" ref="V55" si="70">SUM(V48:V54)</f>
        <v>0</v>
      </c>
      <c r="W55" s="61">
        <f t="shared" ref="W55" si="71">SUM(W48:W54)</f>
        <v>160200</v>
      </c>
      <c r="X55" s="61">
        <f t="shared" ref="X55" si="72">SUM(X48:X54)</f>
        <v>216312</v>
      </c>
      <c r="Y55" s="61">
        <f t="shared" ref="Y55" si="73">SUM(Y48:Y54)</f>
        <v>216312</v>
      </c>
      <c r="Z55" s="61">
        <f t="shared" ref="Z55" si="74">SUM(Z48:Z54)</f>
        <v>216312</v>
      </c>
      <c r="AA55" s="61">
        <f t="shared" ref="AA55" si="75">SUM(AA48:AA54)</f>
        <v>216312</v>
      </c>
      <c r="AB55" s="62">
        <f t="shared" ref="AB55" si="76">SUM(AB48:AB54)</f>
        <v>1306092</v>
      </c>
    </row>
    <row r="56" spans="1:29" ht="15" outlineLevel="1" thickBot="1" x14ac:dyDescent="0.35"/>
    <row r="57" spans="1:29" ht="38.25" customHeight="1" outlineLevel="1" thickBot="1" x14ac:dyDescent="0.35">
      <c r="A57" s="48" t="s">
        <v>70</v>
      </c>
      <c r="C57" s="11" t="s">
        <v>63</v>
      </c>
      <c r="D57" s="11" t="s">
        <v>22</v>
      </c>
      <c r="E57" s="11" t="str">
        <f>E47</f>
        <v>Starting Year of yearly charges</v>
      </c>
      <c r="F57" s="11" t="s">
        <v>23</v>
      </c>
      <c r="G57" s="11" t="s">
        <v>64</v>
      </c>
      <c r="H57" s="11" t="s">
        <v>93</v>
      </c>
      <c r="I57" s="83" t="s">
        <v>94</v>
      </c>
      <c r="J57" s="83" t="s">
        <v>35</v>
      </c>
      <c r="K57" s="83" t="s">
        <v>33</v>
      </c>
      <c r="L57" s="83" t="s">
        <v>34</v>
      </c>
      <c r="O57" s="5" t="s">
        <v>96</v>
      </c>
      <c r="P57" s="11" t="s">
        <v>64</v>
      </c>
      <c r="Q57" s="10" t="s">
        <v>65</v>
      </c>
      <c r="R57" s="53">
        <v>1</v>
      </c>
      <c r="S57" s="54">
        <v>2</v>
      </c>
      <c r="T57" s="54">
        <v>3</v>
      </c>
      <c r="U57" s="54">
        <v>4</v>
      </c>
      <c r="V57" s="55">
        <v>5</v>
      </c>
      <c r="W57" s="53">
        <v>1</v>
      </c>
      <c r="X57" s="54">
        <v>2</v>
      </c>
      <c r="Y57" s="54">
        <v>3</v>
      </c>
      <c r="Z57" s="54">
        <v>4</v>
      </c>
      <c r="AA57" s="55">
        <v>5</v>
      </c>
      <c r="AB57" s="57" t="s">
        <v>20</v>
      </c>
      <c r="AC57" s="10"/>
    </row>
    <row r="58" spans="1:29" outlineLevel="2" x14ac:dyDescent="0.3">
      <c r="A58" s="24" t="str">
        <f t="shared" ref="A58:A64" si="77">A28</f>
        <v>OS</v>
      </c>
      <c r="B58" s="24"/>
      <c r="C58" s="27">
        <f t="shared" ref="C58:F64" si="78">C28</f>
        <v>0</v>
      </c>
      <c r="D58" s="27">
        <f t="shared" si="78"/>
        <v>2000</v>
      </c>
      <c r="E58" s="28">
        <f t="shared" si="78"/>
        <v>1</v>
      </c>
      <c r="F58" s="29">
        <f t="shared" si="78"/>
        <v>0.2</v>
      </c>
      <c r="G58" s="87" t="str">
        <f>G48</f>
        <v>socket</v>
      </c>
      <c r="H58" s="87" t="str">
        <f>H48</f>
        <v>socket</v>
      </c>
      <c r="I58" s="87">
        <f>I48</f>
        <v>1</v>
      </c>
      <c r="J58" s="36">
        <f>$O$22</f>
        <v>12</v>
      </c>
      <c r="K58" s="36">
        <f>$P$22</f>
        <v>24</v>
      </c>
      <c r="L58" s="36">
        <f>$Q$22</f>
        <v>480</v>
      </c>
      <c r="O58">
        <f>_xlfn.XLOOKUP($H58,$J$27:$L$27,$J58:$L58)</f>
        <v>24</v>
      </c>
      <c r="P58" s="10" t="s">
        <v>33</v>
      </c>
      <c r="Q58" s="86">
        <f>I58*O58</f>
        <v>24</v>
      </c>
      <c r="R58" s="19">
        <f t="shared" ref="R58:R64" si="79">$Q58*$C58*(1-$F58)</f>
        <v>0</v>
      </c>
      <c r="S58" s="19"/>
      <c r="T58" s="19"/>
      <c r="U58" s="19"/>
      <c r="V58" s="19"/>
      <c r="W58" s="19">
        <f t="shared" ref="W58:AA64" si="80">IF(W$18&lt;$E58,0,$Q58*$D58)*(1-$F58)</f>
        <v>38400</v>
      </c>
      <c r="X58" s="19">
        <f t="shared" si="80"/>
        <v>38400</v>
      </c>
      <c r="Y58" s="19">
        <f t="shared" si="80"/>
        <v>38400</v>
      </c>
      <c r="Z58" s="19">
        <f t="shared" si="80"/>
        <v>38400</v>
      </c>
      <c r="AA58" s="19">
        <f t="shared" si="80"/>
        <v>38400</v>
      </c>
      <c r="AB58" s="20">
        <f>SUM(R58:AA58)</f>
        <v>192000</v>
      </c>
    </row>
    <row r="59" spans="1:29" outlineLevel="2" x14ac:dyDescent="0.3">
      <c r="A59" s="24" t="str">
        <f t="shared" si="77"/>
        <v>VM</v>
      </c>
      <c r="B59" s="24"/>
      <c r="C59" s="27">
        <f t="shared" si="78"/>
        <v>5000</v>
      </c>
      <c r="D59" s="27">
        <f t="shared" si="78"/>
        <v>1000</v>
      </c>
      <c r="E59" s="28">
        <f t="shared" si="78"/>
        <v>2</v>
      </c>
      <c r="F59" s="29">
        <f t="shared" si="78"/>
        <v>0.2</v>
      </c>
      <c r="G59" s="87" t="str">
        <f t="shared" ref="G59:I59" si="81">G49</f>
        <v>socket</v>
      </c>
      <c r="H59" s="87" t="str">
        <f t="shared" si="81"/>
        <v>socket</v>
      </c>
      <c r="I59" s="87">
        <f t="shared" si="81"/>
        <v>1</v>
      </c>
      <c r="J59" s="1">
        <f>J58</f>
        <v>12</v>
      </c>
      <c r="K59" s="1">
        <f t="shared" ref="K59:K64" si="82">K58</f>
        <v>24</v>
      </c>
      <c r="L59" s="1">
        <f t="shared" ref="L59:L64" si="83">L58</f>
        <v>480</v>
      </c>
      <c r="O59">
        <f t="shared" ref="O59:O64" si="84">_xlfn.XLOOKUP($H59,$J$27:$L$27,$J59:$L59)</f>
        <v>24</v>
      </c>
      <c r="P59" s="10" t="s">
        <v>33</v>
      </c>
      <c r="Q59" s="86">
        <f t="shared" ref="Q59:Q64" si="85">I59*O59</f>
        <v>24</v>
      </c>
      <c r="R59" s="19">
        <f t="shared" si="79"/>
        <v>96000</v>
      </c>
      <c r="S59" s="19"/>
      <c r="T59" s="19"/>
      <c r="U59" s="19"/>
      <c r="V59" s="19"/>
      <c r="W59" s="19">
        <f t="shared" si="80"/>
        <v>0</v>
      </c>
      <c r="X59" s="19">
        <f t="shared" si="80"/>
        <v>19200</v>
      </c>
      <c r="Y59" s="19">
        <f t="shared" si="80"/>
        <v>19200</v>
      </c>
      <c r="Z59" s="19">
        <f t="shared" si="80"/>
        <v>19200</v>
      </c>
      <c r="AA59" s="19">
        <f t="shared" si="80"/>
        <v>19200</v>
      </c>
      <c r="AB59" s="20">
        <f t="shared" ref="AB59:AB60" si="86">SUM(R59:AA59)</f>
        <v>172800</v>
      </c>
    </row>
    <row r="60" spans="1:29" outlineLevel="2" x14ac:dyDescent="0.3">
      <c r="A60" s="24" t="str">
        <f t="shared" si="77"/>
        <v>Application Server</v>
      </c>
      <c r="B60" s="24"/>
      <c r="C60" s="27">
        <f t="shared" si="78"/>
        <v>46.82</v>
      </c>
      <c r="D60" s="27">
        <f t="shared" si="78"/>
        <v>9.36</v>
      </c>
      <c r="E60" s="28">
        <f t="shared" si="78"/>
        <v>2</v>
      </c>
      <c r="F60" s="29">
        <f t="shared" si="78"/>
        <v>0.75</v>
      </c>
      <c r="G60" s="87" t="str">
        <f t="shared" ref="G60:I60" si="87">G50</f>
        <v>PVU</v>
      </c>
      <c r="H60" s="87" t="str">
        <f t="shared" si="87"/>
        <v>core</v>
      </c>
      <c r="I60" s="87">
        <f t="shared" si="87"/>
        <v>70</v>
      </c>
      <c r="J60" s="1">
        <f t="shared" ref="J60:J64" si="88">J59</f>
        <v>12</v>
      </c>
      <c r="K60" s="1">
        <f t="shared" si="82"/>
        <v>24</v>
      </c>
      <c r="L60" s="1">
        <f t="shared" si="83"/>
        <v>480</v>
      </c>
      <c r="O60">
        <f t="shared" si="84"/>
        <v>480</v>
      </c>
      <c r="P60" s="10" t="s">
        <v>95</v>
      </c>
      <c r="Q60" s="86">
        <f t="shared" si="85"/>
        <v>33600</v>
      </c>
      <c r="R60" s="19">
        <f t="shared" si="79"/>
        <v>393288</v>
      </c>
      <c r="S60" s="19"/>
      <c r="T60" s="19"/>
      <c r="U60" s="19"/>
      <c r="V60" s="19"/>
      <c r="W60" s="19">
        <f t="shared" si="80"/>
        <v>0</v>
      </c>
      <c r="X60" s="19">
        <f t="shared" si="80"/>
        <v>78624</v>
      </c>
      <c r="Y60" s="19">
        <f t="shared" si="80"/>
        <v>78624</v>
      </c>
      <c r="Z60" s="19">
        <f t="shared" si="80"/>
        <v>78624</v>
      </c>
      <c r="AA60" s="19">
        <f t="shared" si="80"/>
        <v>78624</v>
      </c>
      <c r="AB60" s="20">
        <f t="shared" si="86"/>
        <v>707784</v>
      </c>
    </row>
    <row r="61" spans="1:29" outlineLevel="2" x14ac:dyDescent="0.3">
      <c r="A61" s="24" t="str">
        <f t="shared" si="77"/>
        <v>DB</v>
      </c>
      <c r="B61" s="24"/>
      <c r="C61" s="27">
        <f t="shared" si="78"/>
        <v>0</v>
      </c>
      <c r="D61" s="27">
        <f t="shared" si="78"/>
        <v>8500</v>
      </c>
      <c r="E61" s="28">
        <f t="shared" si="78"/>
        <v>1</v>
      </c>
      <c r="F61" s="29">
        <f t="shared" si="78"/>
        <v>0</v>
      </c>
      <c r="G61" s="87" t="str">
        <f t="shared" ref="G61:I61" si="89">G51</f>
        <v>server</v>
      </c>
      <c r="H61" s="87" t="str">
        <f t="shared" si="89"/>
        <v>server</v>
      </c>
      <c r="I61" s="87">
        <f t="shared" si="89"/>
        <v>1</v>
      </c>
      <c r="J61" s="1">
        <f t="shared" si="88"/>
        <v>12</v>
      </c>
      <c r="K61" s="1">
        <f t="shared" si="82"/>
        <v>24</v>
      </c>
      <c r="L61" s="1">
        <f t="shared" si="83"/>
        <v>480</v>
      </c>
      <c r="O61">
        <f t="shared" si="84"/>
        <v>12</v>
      </c>
      <c r="P61" s="10" t="s">
        <v>34</v>
      </c>
      <c r="Q61" s="86">
        <f t="shared" si="85"/>
        <v>12</v>
      </c>
      <c r="R61" s="19">
        <f t="shared" si="79"/>
        <v>0</v>
      </c>
      <c r="S61" s="19"/>
      <c r="T61" s="19"/>
      <c r="U61" s="19"/>
      <c r="V61" s="19"/>
      <c r="W61" s="19">
        <f t="shared" si="80"/>
        <v>102000</v>
      </c>
      <c r="X61" s="19">
        <f t="shared" si="80"/>
        <v>102000</v>
      </c>
      <c r="Y61" s="19">
        <f t="shared" si="80"/>
        <v>102000</v>
      </c>
      <c r="Z61" s="19">
        <f t="shared" si="80"/>
        <v>102000</v>
      </c>
      <c r="AA61" s="19">
        <f t="shared" si="80"/>
        <v>102000</v>
      </c>
      <c r="AB61" s="20">
        <f>SUM(R61:AA61)</f>
        <v>510000</v>
      </c>
    </row>
    <row r="62" spans="1:29" outlineLevel="2" x14ac:dyDescent="0.3">
      <c r="A62" s="24" t="str">
        <f t="shared" si="77"/>
        <v>Data Replication Tools</v>
      </c>
      <c r="B62" s="24"/>
      <c r="C62" s="27">
        <f t="shared" si="78"/>
        <v>0</v>
      </c>
      <c r="D62" s="27">
        <f t="shared" si="78"/>
        <v>3000</v>
      </c>
      <c r="E62" s="28">
        <f t="shared" si="78"/>
        <v>1</v>
      </c>
      <c r="F62" s="29">
        <f t="shared" si="78"/>
        <v>0.75</v>
      </c>
      <c r="G62" s="87" t="str">
        <f t="shared" ref="G62:I62" si="90">G52</f>
        <v>core</v>
      </c>
      <c r="H62" s="87" t="str">
        <f t="shared" si="90"/>
        <v>core</v>
      </c>
      <c r="I62" s="87">
        <f t="shared" si="90"/>
        <v>0.5</v>
      </c>
      <c r="J62" s="1">
        <f t="shared" si="88"/>
        <v>12</v>
      </c>
      <c r="K62" s="1">
        <f t="shared" si="82"/>
        <v>24</v>
      </c>
      <c r="L62" s="1">
        <f t="shared" si="83"/>
        <v>480</v>
      </c>
      <c r="O62">
        <f t="shared" si="84"/>
        <v>480</v>
      </c>
      <c r="P62" s="10" t="s">
        <v>34</v>
      </c>
      <c r="Q62" s="86">
        <f t="shared" si="85"/>
        <v>240</v>
      </c>
      <c r="R62" s="19">
        <f t="shared" si="79"/>
        <v>0</v>
      </c>
      <c r="S62" s="19"/>
      <c r="T62" s="19"/>
      <c r="U62" s="19"/>
      <c r="V62" s="19"/>
      <c r="W62" s="19">
        <f t="shared" si="80"/>
        <v>180000</v>
      </c>
      <c r="X62" s="19">
        <f t="shared" si="80"/>
        <v>180000</v>
      </c>
      <c r="Y62" s="19">
        <f t="shared" si="80"/>
        <v>180000</v>
      </c>
      <c r="Z62" s="19">
        <f t="shared" si="80"/>
        <v>180000</v>
      </c>
      <c r="AA62" s="19">
        <f t="shared" si="80"/>
        <v>180000</v>
      </c>
      <c r="AB62" s="20">
        <f>SUM(R62:AA62)</f>
        <v>900000</v>
      </c>
    </row>
    <row r="63" spans="1:29" outlineLevel="2" x14ac:dyDescent="0.3">
      <c r="A63" s="24" t="str">
        <f t="shared" si="77"/>
        <v>Monitoring Tools</v>
      </c>
      <c r="B63" s="24"/>
      <c r="C63" s="27">
        <f t="shared" si="78"/>
        <v>5000</v>
      </c>
      <c r="D63" s="27">
        <f t="shared" si="78"/>
        <v>1000</v>
      </c>
      <c r="E63" s="28">
        <f t="shared" si="78"/>
        <v>2</v>
      </c>
      <c r="F63" s="29">
        <f t="shared" si="78"/>
        <v>0.4</v>
      </c>
      <c r="G63" s="87" t="str">
        <f t="shared" ref="G63:I63" si="91">G53</f>
        <v>server</v>
      </c>
      <c r="H63" s="87" t="str">
        <f t="shared" si="91"/>
        <v>server</v>
      </c>
      <c r="I63" s="87">
        <f t="shared" si="91"/>
        <v>1</v>
      </c>
      <c r="J63" s="1">
        <f t="shared" si="88"/>
        <v>12</v>
      </c>
      <c r="K63" s="1">
        <f t="shared" si="82"/>
        <v>24</v>
      </c>
      <c r="L63" s="1">
        <f t="shared" si="83"/>
        <v>480</v>
      </c>
      <c r="O63">
        <f t="shared" si="84"/>
        <v>12</v>
      </c>
      <c r="P63" s="10" t="s">
        <v>35</v>
      </c>
      <c r="Q63" s="86">
        <f t="shared" si="85"/>
        <v>12</v>
      </c>
      <c r="R63" s="19">
        <f t="shared" si="79"/>
        <v>36000</v>
      </c>
      <c r="S63" s="19"/>
      <c r="T63" s="19"/>
      <c r="U63" s="19"/>
      <c r="V63" s="19"/>
      <c r="W63" s="19">
        <f t="shared" si="80"/>
        <v>0</v>
      </c>
      <c r="X63" s="19">
        <f t="shared" si="80"/>
        <v>7200</v>
      </c>
      <c r="Y63" s="19">
        <f t="shared" si="80"/>
        <v>7200</v>
      </c>
      <c r="Z63" s="19">
        <f t="shared" si="80"/>
        <v>7200</v>
      </c>
      <c r="AA63" s="19">
        <f t="shared" si="80"/>
        <v>7200</v>
      </c>
      <c r="AB63" s="20">
        <f t="shared" ref="AB63:AB64" si="92">SUM(R63:AA63)</f>
        <v>64800</v>
      </c>
    </row>
    <row r="64" spans="1:29" outlineLevel="2" x14ac:dyDescent="0.3">
      <c r="A64" s="24" t="str">
        <f t="shared" si="77"/>
        <v>Security Tools</v>
      </c>
      <c r="B64" s="24"/>
      <c r="C64" s="27">
        <f t="shared" si="78"/>
        <v>5000</v>
      </c>
      <c r="D64" s="27">
        <f t="shared" si="78"/>
        <v>1000</v>
      </c>
      <c r="E64" s="28">
        <f t="shared" si="78"/>
        <v>2</v>
      </c>
      <c r="F64" s="29">
        <f t="shared" si="78"/>
        <v>0.4</v>
      </c>
      <c r="G64" s="87" t="str">
        <f t="shared" ref="G64:I64" si="93">G54</f>
        <v>server</v>
      </c>
      <c r="H64" s="87" t="str">
        <f t="shared" si="93"/>
        <v>server</v>
      </c>
      <c r="I64" s="87">
        <f t="shared" si="93"/>
        <v>1</v>
      </c>
      <c r="J64" s="1">
        <f t="shared" si="88"/>
        <v>12</v>
      </c>
      <c r="K64" s="1">
        <f t="shared" si="82"/>
        <v>24</v>
      </c>
      <c r="L64" s="1">
        <f t="shared" si="83"/>
        <v>480</v>
      </c>
      <c r="O64">
        <f t="shared" si="84"/>
        <v>12</v>
      </c>
      <c r="P64" s="10" t="s">
        <v>35</v>
      </c>
      <c r="Q64" s="86">
        <f t="shared" si="85"/>
        <v>12</v>
      </c>
      <c r="R64" s="19">
        <f t="shared" si="79"/>
        <v>36000</v>
      </c>
      <c r="S64" s="19"/>
      <c r="T64" s="19"/>
      <c r="U64" s="19"/>
      <c r="V64" s="19"/>
      <c r="W64" s="19">
        <f t="shared" si="80"/>
        <v>0</v>
      </c>
      <c r="X64" s="19">
        <f t="shared" si="80"/>
        <v>7200</v>
      </c>
      <c r="Y64" s="19">
        <f t="shared" si="80"/>
        <v>7200</v>
      </c>
      <c r="Z64" s="19">
        <f t="shared" si="80"/>
        <v>7200</v>
      </c>
      <c r="AA64" s="19">
        <f t="shared" si="80"/>
        <v>7200</v>
      </c>
      <c r="AB64" s="20">
        <f t="shared" si="92"/>
        <v>64800</v>
      </c>
    </row>
    <row r="65" spans="1:29" s="39" customFormat="1" outlineLevel="1" x14ac:dyDescent="0.3">
      <c r="Q65" s="64" t="s">
        <v>99</v>
      </c>
      <c r="R65" s="61">
        <f>SUM(R58:R64)</f>
        <v>561288</v>
      </c>
      <c r="S65" s="61">
        <f t="shared" ref="S65" si="94">SUM(S58:S64)</f>
        <v>0</v>
      </c>
      <c r="T65" s="61">
        <f t="shared" ref="T65" si="95">SUM(T58:T64)</f>
        <v>0</v>
      </c>
      <c r="U65" s="61">
        <f t="shared" ref="U65" si="96">SUM(U58:U64)</f>
        <v>0</v>
      </c>
      <c r="V65" s="61">
        <f t="shared" ref="V65" si="97">SUM(V58:V64)</f>
        <v>0</v>
      </c>
      <c r="W65" s="61">
        <f t="shared" ref="W65" si="98">SUM(W58:W64)</f>
        <v>320400</v>
      </c>
      <c r="X65" s="61">
        <f t="shared" ref="X65" si="99">SUM(X58:X64)</f>
        <v>432624</v>
      </c>
      <c r="Y65" s="61">
        <f t="shared" ref="Y65" si="100">SUM(Y58:Y64)</f>
        <v>432624</v>
      </c>
      <c r="Z65" s="61">
        <f t="shared" ref="Z65" si="101">SUM(Z58:Z64)</f>
        <v>432624</v>
      </c>
      <c r="AA65" s="61">
        <f t="shared" ref="AA65" si="102">SUM(AA58:AA64)</f>
        <v>432624</v>
      </c>
      <c r="AB65" s="62">
        <f t="shared" ref="AB65" si="103">SUM(AB58:AB64)</f>
        <v>2612184</v>
      </c>
    </row>
    <row r="66" spans="1:29" ht="15" outlineLevel="1" thickBot="1" x14ac:dyDescent="0.35"/>
    <row r="67" spans="1:29" ht="41.25" customHeight="1" outlineLevel="1" thickBot="1" x14ac:dyDescent="0.35">
      <c r="A67" s="48" t="s">
        <v>10</v>
      </c>
      <c r="C67" s="11" t="s">
        <v>63</v>
      </c>
      <c r="D67" s="11" t="s">
        <v>22</v>
      </c>
      <c r="E67" s="11" t="str">
        <f>E57</f>
        <v>Starting Year of yearly charges</v>
      </c>
      <c r="F67" s="11" t="s">
        <v>23</v>
      </c>
      <c r="G67" s="11" t="s">
        <v>64</v>
      </c>
      <c r="H67" s="11" t="s">
        <v>93</v>
      </c>
      <c r="I67" s="83" t="s">
        <v>94</v>
      </c>
      <c r="J67" s="83" t="s">
        <v>35</v>
      </c>
      <c r="K67" s="83" t="s">
        <v>33</v>
      </c>
      <c r="L67" s="83" t="s">
        <v>34</v>
      </c>
      <c r="O67" s="5" t="s">
        <v>96</v>
      </c>
      <c r="P67" s="11" t="s">
        <v>64</v>
      </c>
      <c r="Q67" s="10" t="s">
        <v>65</v>
      </c>
      <c r="R67" s="53">
        <v>1</v>
      </c>
      <c r="S67" s="54">
        <v>2</v>
      </c>
      <c r="T67" s="54">
        <v>3</v>
      </c>
      <c r="U67" s="54">
        <v>4</v>
      </c>
      <c r="V67" s="55">
        <v>5</v>
      </c>
      <c r="W67" s="53">
        <v>1</v>
      </c>
      <c r="X67" s="54">
        <v>2</v>
      </c>
      <c r="Y67" s="54">
        <v>3</v>
      </c>
      <c r="Z67" s="54">
        <v>4</v>
      </c>
      <c r="AA67" s="55">
        <v>5</v>
      </c>
      <c r="AB67" s="57" t="s">
        <v>20</v>
      </c>
      <c r="AC67" s="10"/>
    </row>
    <row r="68" spans="1:29" outlineLevel="2" x14ac:dyDescent="0.3">
      <c r="A68" s="24" t="str">
        <f t="shared" ref="A68:A74" si="104">A28</f>
        <v>OS</v>
      </c>
      <c r="B68" s="24"/>
      <c r="C68" s="27">
        <f t="shared" ref="C68:F74" si="105">C28</f>
        <v>0</v>
      </c>
      <c r="D68" s="27">
        <f t="shared" si="105"/>
        <v>2000</v>
      </c>
      <c r="E68" s="28">
        <f t="shared" si="105"/>
        <v>1</v>
      </c>
      <c r="F68" s="29">
        <f t="shared" si="105"/>
        <v>0.2</v>
      </c>
      <c r="G68" s="87" t="str">
        <f>G58</f>
        <v>socket</v>
      </c>
      <c r="H68" s="87" t="str">
        <f>H58</f>
        <v>socket</v>
      </c>
      <c r="I68" s="87">
        <f>I58</f>
        <v>1</v>
      </c>
      <c r="J68" s="36">
        <f>$O$23</f>
        <v>24</v>
      </c>
      <c r="K68" s="36">
        <f>$P$23</f>
        <v>48</v>
      </c>
      <c r="L68" s="36">
        <f>$Q$23</f>
        <v>960</v>
      </c>
      <c r="O68">
        <f>_xlfn.XLOOKUP($H68,$J$27:$L$27,$J68:$L68)</f>
        <v>48</v>
      </c>
      <c r="P68" s="10" t="s">
        <v>33</v>
      </c>
      <c r="Q68" s="86">
        <f>I68*O68</f>
        <v>48</v>
      </c>
      <c r="R68" s="19">
        <f t="shared" ref="R68:R74" si="106">$Q68*$C68*(1-$F68)</f>
        <v>0</v>
      </c>
      <c r="S68" s="19"/>
      <c r="T68" s="19"/>
      <c r="U68" s="19"/>
      <c r="V68" s="19"/>
      <c r="W68" s="19">
        <f t="shared" ref="W68:AA74" si="107">IF(W$18&lt;$E68,0,$Q68*$D68)*(1-$F68)</f>
        <v>76800</v>
      </c>
      <c r="X68" s="19">
        <f t="shared" si="107"/>
        <v>76800</v>
      </c>
      <c r="Y68" s="19">
        <f t="shared" si="107"/>
        <v>76800</v>
      </c>
      <c r="Z68" s="19">
        <f t="shared" si="107"/>
        <v>76800</v>
      </c>
      <c r="AA68" s="19">
        <f t="shared" si="107"/>
        <v>76800</v>
      </c>
      <c r="AB68" s="20">
        <f>SUM(R68:AA68)</f>
        <v>384000</v>
      </c>
    </row>
    <row r="69" spans="1:29" outlineLevel="2" x14ac:dyDescent="0.3">
      <c r="A69" s="24" t="str">
        <f t="shared" si="104"/>
        <v>VM</v>
      </c>
      <c r="B69" s="24"/>
      <c r="C69" s="27">
        <f t="shared" si="105"/>
        <v>5000</v>
      </c>
      <c r="D69" s="27">
        <f t="shared" si="105"/>
        <v>1000</v>
      </c>
      <c r="E69" s="28">
        <f t="shared" si="105"/>
        <v>2</v>
      </c>
      <c r="F69" s="29">
        <f t="shared" si="105"/>
        <v>0.2</v>
      </c>
      <c r="G69" s="87" t="str">
        <f t="shared" ref="G69:I69" si="108">G59</f>
        <v>socket</v>
      </c>
      <c r="H69" s="87" t="str">
        <f t="shared" si="108"/>
        <v>socket</v>
      </c>
      <c r="I69" s="87">
        <f t="shared" si="108"/>
        <v>1</v>
      </c>
      <c r="J69" s="1">
        <f>J68</f>
        <v>24</v>
      </c>
      <c r="K69" s="1">
        <f t="shared" ref="K69:K74" si="109">K68</f>
        <v>48</v>
      </c>
      <c r="L69" s="1">
        <f t="shared" ref="L69:L74" si="110">L68</f>
        <v>960</v>
      </c>
      <c r="O69">
        <f t="shared" ref="O69:O74" si="111">_xlfn.XLOOKUP($H69,$J$27:$L$27,$J69:$L69)</f>
        <v>48</v>
      </c>
      <c r="P69" s="10" t="s">
        <v>33</v>
      </c>
      <c r="Q69" s="86">
        <f t="shared" ref="Q69:Q74" si="112">I69*O69</f>
        <v>48</v>
      </c>
      <c r="R69" s="19">
        <f t="shared" si="106"/>
        <v>192000</v>
      </c>
      <c r="S69" s="19"/>
      <c r="T69" s="19"/>
      <c r="U69" s="19"/>
      <c r="V69" s="19"/>
      <c r="W69" s="19">
        <f t="shared" si="107"/>
        <v>0</v>
      </c>
      <c r="X69" s="19">
        <f t="shared" si="107"/>
        <v>38400</v>
      </c>
      <c r="Y69" s="19">
        <f t="shared" si="107"/>
        <v>38400</v>
      </c>
      <c r="Z69" s="19">
        <f t="shared" si="107"/>
        <v>38400</v>
      </c>
      <c r="AA69" s="19">
        <f t="shared" si="107"/>
        <v>38400</v>
      </c>
      <c r="AB69" s="20">
        <f t="shared" ref="AB69:AB70" si="113">SUM(R69:AA69)</f>
        <v>345600</v>
      </c>
    </row>
    <row r="70" spans="1:29" outlineLevel="2" x14ac:dyDescent="0.3">
      <c r="A70" s="24" t="str">
        <f t="shared" si="104"/>
        <v>Application Server</v>
      </c>
      <c r="B70" s="24"/>
      <c r="C70" s="27">
        <f t="shared" si="105"/>
        <v>46.82</v>
      </c>
      <c r="D70" s="27">
        <f t="shared" si="105"/>
        <v>9.36</v>
      </c>
      <c r="E70" s="28">
        <f t="shared" si="105"/>
        <v>2</v>
      </c>
      <c r="F70" s="29">
        <f t="shared" si="105"/>
        <v>0.75</v>
      </c>
      <c r="G70" s="87" t="str">
        <f t="shared" ref="G70:I70" si="114">G60</f>
        <v>PVU</v>
      </c>
      <c r="H70" s="87" t="str">
        <f t="shared" si="114"/>
        <v>core</v>
      </c>
      <c r="I70" s="87">
        <f t="shared" si="114"/>
        <v>70</v>
      </c>
      <c r="J70" s="1">
        <f t="shared" ref="J70:J74" si="115">J69</f>
        <v>24</v>
      </c>
      <c r="K70" s="1">
        <f t="shared" si="109"/>
        <v>48</v>
      </c>
      <c r="L70" s="1">
        <f t="shared" si="110"/>
        <v>960</v>
      </c>
      <c r="O70">
        <f t="shared" si="111"/>
        <v>960</v>
      </c>
      <c r="P70" s="10" t="s">
        <v>95</v>
      </c>
      <c r="Q70" s="86">
        <f t="shared" si="112"/>
        <v>67200</v>
      </c>
      <c r="R70" s="19">
        <f t="shared" si="106"/>
        <v>786576</v>
      </c>
      <c r="S70" s="19"/>
      <c r="T70" s="19"/>
      <c r="U70" s="19"/>
      <c r="V70" s="19"/>
      <c r="W70" s="19">
        <f t="shared" si="107"/>
        <v>0</v>
      </c>
      <c r="X70" s="19">
        <f t="shared" si="107"/>
        <v>157248</v>
      </c>
      <c r="Y70" s="19">
        <f t="shared" si="107"/>
        <v>157248</v>
      </c>
      <c r="Z70" s="19">
        <f t="shared" si="107"/>
        <v>157248</v>
      </c>
      <c r="AA70" s="19">
        <f t="shared" si="107"/>
        <v>157248</v>
      </c>
      <c r="AB70" s="20">
        <f t="shared" si="113"/>
        <v>1415568</v>
      </c>
    </row>
    <row r="71" spans="1:29" outlineLevel="2" x14ac:dyDescent="0.3">
      <c r="A71" s="24" t="str">
        <f t="shared" si="104"/>
        <v>DB</v>
      </c>
      <c r="B71" s="24"/>
      <c r="C71" s="27">
        <f t="shared" si="105"/>
        <v>0</v>
      </c>
      <c r="D71" s="27">
        <f t="shared" si="105"/>
        <v>8500</v>
      </c>
      <c r="E71" s="28">
        <f t="shared" si="105"/>
        <v>1</v>
      </c>
      <c r="F71" s="29">
        <f t="shared" si="105"/>
        <v>0</v>
      </c>
      <c r="G71" s="87" t="str">
        <f t="shared" ref="G71:I71" si="116">G61</f>
        <v>server</v>
      </c>
      <c r="H71" s="87" t="str">
        <f t="shared" si="116"/>
        <v>server</v>
      </c>
      <c r="I71" s="87">
        <f t="shared" si="116"/>
        <v>1</v>
      </c>
      <c r="J71" s="1">
        <f t="shared" si="115"/>
        <v>24</v>
      </c>
      <c r="K71" s="1">
        <f t="shared" si="109"/>
        <v>48</v>
      </c>
      <c r="L71" s="1">
        <f t="shared" si="110"/>
        <v>960</v>
      </c>
      <c r="O71">
        <f t="shared" si="111"/>
        <v>24</v>
      </c>
      <c r="P71" s="10" t="s">
        <v>34</v>
      </c>
      <c r="Q71" s="86">
        <f t="shared" si="112"/>
        <v>24</v>
      </c>
      <c r="R71" s="19">
        <f t="shared" si="106"/>
        <v>0</v>
      </c>
      <c r="S71" s="19"/>
      <c r="T71" s="19"/>
      <c r="U71" s="19"/>
      <c r="V71" s="19"/>
      <c r="W71" s="19">
        <f t="shared" si="107"/>
        <v>204000</v>
      </c>
      <c r="X71" s="19">
        <f t="shared" si="107"/>
        <v>204000</v>
      </c>
      <c r="Y71" s="19">
        <f t="shared" si="107"/>
        <v>204000</v>
      </c>
      <c r="Z71" s="19">
        <f t="shared" si="107"/>
        <v>204000</v>
      </c>
      <c r="AA71" s="19">
        <f t="shared" si="107"/>
        <v>204000</v>
      </c>
      <c r="AB71" s="20">
        <f>SUM(R71:AA71)</f>
        <v>1020000</v>
      </c>
    </row>
    <row r="72" spans="1:29" outlineLevel="2" x14ac:dyDescent="0.3">
      <c r="A72" s="24" t="str">
        <f t="shared" si="104"/>
        <v>Data Replication Tools</v>
      </c>
      <c r="B72" s="24"/>
      <c r="C72" s="27">
        <f t="shared" si="105"/>
        <v>0</v>
      </c>
      <c r="D72" s="27">
        <f t="shared" si="105"/>
        <v>3000</v>
      </c>
      <c r="E72" s="28">
        <f t="shared" si="105"/>
        <v>1</v>
      </c>
      <c r="F72" s="29">
        <f t="shared" si="105"/>
        <v>0.75</v>
      </c>
      <c r="G72" s="87" t="str">
        <f t="shared" ref="G72:I72" si="117">G62</f>
        <v>core</v>
      </c>
      <c r="H72" s="87" t="str">
        <f t="shared" si="117"/>
        <v>core</v>
      </c>
      <c r="I72" s="87">
        <f t="shared" si="117"/>
        <v>0.5</v>
      </c>
      <c r="J72" s="1">
        <f t="shared" si="115"/>
        <v>24</v>
      </c>
      <c r="K72" s="1">
        <f t="shared" si="109"/>
        <v>48</v>
      </c>
      <c r="L72" s="1">
        <f t="shared" si="110"/>
        <v>960</v>
      </c>
      <c r="O72">
        <f t="shared" si="111"/>
        <v>960</v>
      </c>
      <c r="P72" s="10" t="s">
        <v>34</v>
      </c>
      <c r="Q72" s="86">
        <f t="shared" si="112"/>
        <v>480</v>
      </c>
      <c r="R72" s="19">
        <f t="shared" si="106"/>
        <v>0</v>
      </c>
      <c r="S72" s="19"/>
      <c r="T72" s="19"/>
      <c r="U72" s="19"/>
      <c r="V72" s="19"/>
      <c r="W72" s="19">
        <f t="shared" si="107"/>
        <v>360000</v>
      </c>
      <c r="X72" s="19">
        <f t="shared" si="107"/>
        <v>360000</v>
      </c>
      <c r="Y72" s="19">
        <f t="shared" si="107"/>
        <v>360000</v>
      </c>
      <c r="Z72" s="19">
        <f t="shared" si="107"/>
        <v>360000</v>
      </c>
      <c r="AA72" s="19">
        <f t="shared" si="107"/>
        <v>360000</v>
      </c>
      <c r="AB72" s="20">
        <f>SUM(R72:AA72)</f>
        <v>1800000</v>
      </c>
    </row>
    <row r="73" spans="1:29" outlineLevel="2" x14ac:dyDescent="0.3">
      <c r="A73" s="24" t="str">
        <f t="shared" si="104"/>
        <v>Monitoring Tools</v>
      </c>
      <c r="B73" s="24"/>
      <c r="C73" s="27">
        <f t="shared" si="105"/>
        <v>5000</v>
      </c>
      <c r="D73" s="27">
        <f t="shared" si="105"/>
        <v>1000</v>
      </c>
      <c r="E73" s="28">
        <f t="shared" si="105"/>
        <v>2</v>
      </c>
      <c r="F73" s="29">
        <f t="shared" si="105"/>
        <v>0.4</v>
      </c>
      <c r="G73" s="87" t="str">
        <f t="shared" ref="G73:I73" si="118">G63</f>
        <v>server</v>
      </c>
      <c r="H73" s="87" t="str">
        <f t="shared" si="118"/>
        <v>server</v>
      </c>
      <c r="I73" s="87">
        <f t="shared" si="118"/>
        <v>1</v>
      </c>
      <c r="J73" s="1">
        <f t="shared" si="115"/>
        <v>24</v>
      </c>
      <c r="K73" s="1">
        <f t="shared" si="109"/>
        <v>48</v>
      </c>
      <c r="L73" s="1">
        <f t="shared" si="110"/>
        <v>960</v>
      </c>
      <c r="O73">
        <f t="shared" si="111"/>
        <v>24</v>
      </c>
      <c r="P73" s="10" t="s">
        <v>35</v>
      </c>
      <c r="Q73" s="86">
        <f t="shared" si="112"/>
        <v>24</v>
      </c>
      <c r="R73" s="19">
        <f t="shared" si="106"/>
        <v>72000</v>
      </c>
      <c r="S73" s="19"/>
      <c r="T73" s="19"/>
      <c r="U73" s="19"/>
      <c r="V73" s="19"/>
      <c r="W73" s="19">
        <f t="shared" si="107"/>
        <v>0</v>
      </c>
      <c r="X73" s="19">
        <f t="shared" si="107"/>
        <v>14400</v>
      </c>
      <c r="Y73" s="19">
        <f t="shared" si="107"/>
        <v>14400</v>
      </c>
      <c r="Z73" s="19">
        <f t="shared" si="107"/>
        <v>14400</v>
      </c>
      <c r="AA73" s="19">
        <f t="shared" si="107"/>
        <v>14400</v>
      </c>
      <c r="AB73" s="20">
        <f t="shared" ref="AB73:AB74" si="119">SUM(R73:AA73)</f>
        <v>129600</v>
      </c>
    </row>
    <row r="74" spans="1:29" outlineLevel="2" x14ac:dyDescent="0.3">
      <c r="A74" s="24" t="str">
        <f t="shared" si="104"/>
        <v>Security Tools</v>
      </c>
      <c r="B74" s="24"/>
      <c r="C74" s="27">
        <f t="shared" si="105"/>
        <v>5000</v>
      </c>
      <c r="D74" s="27">
        <f t="shared" si="105"/>
        <v>1000</v>
      </c>
      <c r="E74" s="28">
        <f t="shared" si="105"/>
        <v>2</v>
      </c>
      <c r="F74" s="29">
        <f t="shared" si="105"/>
        <v>0.4</v>
      </c>
      <c r="G74" s="87" t="str">
        <f t="shared" ref="G74:I74" si="120">G64</f>
        <v>server</v>
      </c>
      <c r="H74" s="87" t="str">
        <f t="shared" si="120"/>
        <v>server</v>
      </c>
      <c r="I74" s="87">
        <f t="shared" si="120"/>
        <v>1</v>
      </c>
      <c r="J74" s="1">
        <f t="shared" si="115"/>
        <v>24</v>
      </c>
      <c r="K74" s="1">
        <f t="shared" si="109"/>
        <v>48</v>
      </c>
      <c r="L74" s="1">
        <f t="shared" si="110"/>
        <v>960</v>
      </c>
      <c r="O74">
        <f t="shared" si="111"/>
        <v>24</v>
      </c>
      <c r="P74" s="10" t="s">
        <v>35</v>
      </c>
      <c r="Q74" s="86">
        <f t="shared" si="112"/>
        <v>24</v>
      </c>
      <c r="R74" s="19">
        <f t="shared" si="106"/>
        <v>72000</v>
      </c>
      <c r="S74" s="19"/>
      <c r="T74" s="19"/>
      <c r="U74" s="19"/>
      <c r="V74" s="19"/>
      <c r="W74" s="19">
        <f t="shared" si="107"/>
        <v>0</v>
      </c>
      <c r="X74" s="19">
        <f t="shared" si="107"/>
        <v>14400</v>
      </c>
      <c r="Y74" s="19">
        <f t="shared" si="107"/>
        <v>14400</v>
      </c>
      <c r="Z74" s="19">
        <f t="shared" si="107"/>
        <v>14400</v>
      </c>
      <c r="AA74" s="19">
        <f t="shared" si="107"/>
        <v>14400</v>
      </c>
      <c r="AB74" s="20">
        <f t="shared" si="119"/>
        <v>129600</v>
      </c>
    </row>
    <row r="75" spans="1:29" s="39" customFormat="1" outlineLevel="1" x14ac:dyDescent="0.3">
      <c r="Q75" s="64" t="s">
        <v>10</v>
      </c>
      <c r="R75" s="61">
        <f>SUM(R68:R74)</f>
        <v>1122576</v>
      </c>
      <c r="S75" s="61">
        <f t="shared" ref="S75" si="121">SUM(S68:S74)</f>
        <v>0</v>
      </c>
      <c r="T75" s="61">
        <f t="shared" ref="T75" si="122">SUM(T68:T74)</f>
        <v>0</v>
      </c>
      <c r="U75" s="61">
        <f t="shared" ref="U75" si="123">SUM(U68:U74)</f>
        <v>0</v>
      </c>
      <c r="V75" s="61">
        <f t="shared" ref="V75" si="124">SUM(V68:V74)</f>
        <v>0</v>
      </c>
      <c r="W75" s="61">
        <f t="shared" ref="W75" si="125">SUM(W68:W74)</f>
        <v>640800</v>
      </c>
      <c r="X75" s="61">
        <f t="shared" ref="X75" si="126">SUM(X68:X74)</f>
        <v>865248</v>
      </c>
      <c r="Y75" s="61">
        <f t="shared" ref="Y75" si="127">SUM(Y68:Y74)</f>
        <v>865248</v>
      </c>
      <c r="Z75" s="61">
        <f t="shared" ref="Z75" si="128">SUM(Z68:Z74)</f>
        <v>865248</v>
      </c>
      <c r="AA75" s="61">
        <f t="shared" ref="AA75" si="129">SUM(AA68:AA74)</f>
        <v>865248</v>
      </c>
      <c r="AB75" s="62">
        <f t="shared" ref="AB75" si="130">SUM(AB68:AB74)</f>
        <v>5224368</v>
      </c>
    </row>
    <row r="76" spans="1:29" outlineLevel="1" x14ac:dyDescent="0.3"/>
    <row r="77" spans="1:29" x14ac:dyDescent="0.3">
      <c r="O77" s="64" t="s">
        <v>71</v>
      </c>
      <c r="P77" s="8"/>
      <c r="R77" s="62">
        <f>R35+R45+R55+R65+R75</f>
        <v>2806440</v>
      </c>
      <c r="S77" s="62">
        <f t="shared" ref="S77:AB77" si="131">S35+S45+S55+S65+S75</f>
        <v>0</v>
      </c>
      <c r="T77" s="62">
        <f t="shared" si="131"/>
        <v>0</v>
      </c>
      <c r="U77" s="62">
        <f t="shared" si="131"/>
        <v>0</v>
      </c>
      <c r="V77" s="62">
        <f t="shared" si="131"/>
        <v>0</v>
      </c>
      <c r="W77" s="62">
        <f t="shared" si="131"/>
        <v>1602000</v>
      </c>
      <c r="X77" s="62">
        <f t="shared" si="131"/>
        <v>2163120</v>
      </c>
      <c r="Y77" s="62">
        <f t="shared" si="131"/>
        <v>2163120</v>
      </c>
      <c r="Z77" s="62">
        <f t="shared" si="131"/>
        <v>2163120</v>
      </c>
      <c r="AA77" s="62">
        <f t="shared" si="131"/>
        <v>2163120</v>
      </c>
      <c r="AB77" s="62">
        <f t="shared" si="131"/>
        <v>13060920</v>
      </c>
      <c r="AC77" s="5" t="s">
        <v>20</v>
      </c>
    </row>
    <row r="79" spans="1:29" s="60" customFormat="1" ht="28.5" customHeight="1" thickBot="1" x14ac:dyDescent="0.35">
      <c r="A79" s="58" t="s">
        <v>3</v>
      </c>
      <c r="B79" s="58"/>
      <c r="R79" s="59"/>
      <c r="S79" s="59"/>
      <c r="T79" s="59"/>
      <c r="U79" s="59"/>
      <c r="V79" s="59"/>
      <c r="W79" s="59"/>
      <c r="X79" s="59"/>
      <c r="Y79" s="59"/>
      <c r="Z79" s="59"/>
      <c r="AA79" s="59"/>
      <c r="AB79" s="59"/>
      <c r="AC79" s="59"/>
    </row>
    <row r="80" spans="1:29" ht="29.4" outlineLevel="1" thickBot="1" x14ac:dyDescent="0.35">
      <c r="A80" s="5" t="s">
        <v>3</v>
      </c>
      <c r="B80" s="5"/>
      <c r="N80" s="10"/>
      <c r="O80" s="18" t="s">
        <v>18</v>
      </c>
      <c r="P80" s="7" t="s">
        <v>77</v>
      </c>
      <c r="R80" s="53">
        <v>1</v>
      </c>
      <c r="S80" s="54">
        <v>2</v>
      </c>
      <c r="T80" s="54">
        <v>3</v>
      </c>
      <c r="U80" s="54">
        <v>4</v>
      </c>
      <c r="V80" s="55">
        <v>5</v>
      </c>
      <c r="W80" s="53">
        <v>1</v>
      </c>
      <c r="X80" s="54">
        <v>2</v>
      </c>
      <c r="Y80" s="54">
        <v>3</v>
      </c>
      <c r="Z80" s="54">
        <v>4</v>
      </c>
      <c r="AA80" s="55">
        <v>5</v>
      </c>
      <c r="AB80" s="57" t="s">
        <v>20</v>
      </c>
    </row>
    <row r="81" spans="1:29" outlineLevel="1" x14ac:dyDescent="0.3">
      <c r="A81" t="s">
        <v>79</v>
      </c>
      <c r="D81" s="13">
        <v>30</v>
      </c>
      <c r="E81" t="s">
        <v>72</v>
      </c>
      <c r="N81" s="14" t="s">
        <v>6</v>
      </c>
      <c r="O81" s="33">
        <f>$O$19</f>
        <v>12</v>
      </c>
      <c r="P81" s="9">
        <f>$O81/$D$81</f>
        <v>0.4</v>
      </c>
      <c r="R81" s="19"/>
      <c r="S81" s="19"/>
      <c r="T81" s="19"/>
      <c r="U81" s="19"/>
      <c r="V81" s="19"/>
      <c r="W81" s="19">
        <f>$D$82*$P81</f>
        <v>40000</v>
      </c>
      <c r="X81" s="19">
        <f t="shared" ref="X81:AA85" si="132">$D$82*$P81</f>
        <v>40000</v>
      </c>
      <c r="Y81" s="19">
        <f t="shared" si="132"/>
        <v>40000</v>
      </c>
      <c r="Z81" s="19">
        <f t="shared" si="132"/>
        <v>40000</v>
      </c>
      <c r="AA81" s="19">
        <f t="shared" si="132"/>
        <v>40000</v>
      </c>
      <c r="AB81" s="20">
        <f>SUM(R81:AA81)</f>
        <v>200000</v>
      </c>
      <c r="AC81" s="1" t="s">
        <v>6</v>
      </c>
    </row>
    <row r="82" spans="1:29" outlineLevel="1" x14ac:dyDescent="0.3">
      <c r="A82" t="s">
        <v>36</v>
      </c>
      <c r="D82" s="26">
        <v>100000</v>
      </c>
      <c r="N82" s="14" t="s">
        <v>7</v>
      </c>
      <c r="O82" s="33">
        <f>$O$20</f>
        <v>6</v>
      </c>
      <c r="P82" s="9">
        <f t="shared" ref="P82:P85" si="133">$O82/$D$81</f>
        <v>0.2</v>
      </c>
      <c r="R82" s="19"/>
      <c r="S82" s="19"/>
      <c r="T82" s="19"/>
      <c r="U82" s="19"/>
      <c r="V82" s="19"/>
      <c r="W82" s="19">
        <f t="shared" ref="W82:W85" si="134">$D$82*$P82</f>
        <v>20000</v>
      </c>
      <c r="X82" s="19">
        <f t="shared" si="132"/>
        <v>20000</v>
      </c>
      <c r="Y82" s="19">
        <f t="shared" si="132"/>
        <v>20000</v>
      </c>
      <c r="Z82" s="19">
        <f t="shared" si="132"/>
        <v>20000</v>
      </c>
      <c r="AA82" s="19">
        <f t="shared" si="132"/>
        <v>20000</v>
      </c>
      <c r="AB82" s="20">
        <f t="shared" ref="AB82:AB85" si="135">SUM(R82:AA82)</f>
        <v>100000</v>
      </c>
      <c r="AC82" s="1" t="s">
        <v>7</v>
      </c>
    </row>
    <row r="83" spans="1:29" outlineLevel="1" x14ac:dyDescent="0.3">
      <c r="J83" s="63"/>
      <c r="N83" s="14" t="s">
        <v>8</v>
      </c>
      <c r="O83" s="33">
        <f>$O$21</f>
        <v>6</v>
      </c>
      <c r="P83" s="9">
        <f t="shared" si="133"/>
        <v>0.2</v>
      </c>
      <c r="R83" s="19"/>
      <c r="S83" s="19"/>
      <c r="T83" s="19"/>
      <c r="U83" s="19"/>
      <c r="V83" s="19"/>
      <c r="W83" s="19">
        <f t="shared" si="134"/>
        <v>20000</v>
      </c>
      <c r="X83" s="19">
        <f t="shared" si="132"/>
        <v>20000</v>
      </c>
      <c r="Y83" s="19">
        <f t="shared" si="132"/>
        <v>20000</v>
      </c>
      <c r="Z83" s="19">
        <f t="shared" si="132"/>
        <v>20000</v>
      </c>
      <c r="AA83" s="19">
        <f t="shared" si="132"/>
        <v>20000</v>
      </c>
      <c r="AB83" s="20">
        <f t="shared" si="135"/>
        <v>100000</v>
      </c>
      <c r="AC83" s="1" t="s">
        <v>8</v>
      </c>
    </row>
    <row r="84" spans="1:29" outlineLevel="1" x14ac:dyDescent="0.3">
      <c r="N84" s="14" t="s">
        <v>9</v>
      </c>
      <c r="O84" s="33">
        <f>$O$22</f>
        <v>12</v>
      </c>
      <c r="P84" s="9">
        <f t="shared" si="133"/>
        <v>0.4</v>
      </c>
      <c r="R84" s="19"/>
      <c r="S84" s="19"/>
      <c r="T84" s="19"/>
      <c r="U84" s="19"/>
      <c r="V84" s="19"/>
      <c r="W84" s="19">
        <f t="shared" si="134"/>
        <v>40000</v>
      </c>
      <c r="X84" s="19">
        <f t="shared" si="132"/>
        <v>40000</v>
      </c>
      <c r="Y84" s="19">
        <f t="shared" si="132"/>
        <v>40000</v>
      </c>
      <c r="Z84" s="19">
        <f t="shared" si="132"/>
        <v>40000</v>
      </c>
      <c r="AA84" s="19">
        <f t="shared" si="132"/>
        <v>40000</v>
      </c>
      <c r="AB84" s="20">
        <f t="shared" si="135"/>
        <v>200000</v>
      </c>
      <c r="AC84" s="1" t="s">
        <v>9</v>
      </c>
    </row>
    <row r="85" spans="1:29" outlineLevel="1" x14ac:dyDescent="0.3">
      <c r="N85" s="14" t="s">
        <v>10</v>
      </c>
      <c r="O85" s="33">
        <f>$O$23</f>
        <v>24</v>
      </c>
      <c r="P85" s="9">
        <f t="shared" si="133"/>
        <v>0.8</v>
      </c>
      <c r="R85" s="19"/>
      <c r="S85" s="19"/>
      <c r="T85" s="19"/>
      <c r="U85" s="19"/>
      <c r="V85" s="19"/>
      <c r="W85" s="19">
        <f t="shared" si="134"/>
        <v>80000</v>
      </c>
      <c r="X85" s="19">
        <f t="shared" si="132"/>
        <v>80000</v>
      </c>
      <c r="Y85" s="19">
        <f t="shared" si="132"/>
        <v>80000</v>
      </c>
      <c r="Z85" s="19">
        <f t="shared" si="132"/>
        <v>80000</v>
      </c>
      <c r="AA85" s="19">
        <f t="shared" si="132"/>
        <v>80000</v>
      </c>
      <c r="AB85" s="20">
        <f t="shared" si="135"/>
        <v>400000</v>
      </c>
      <c r="AC85" s="1" t="s">
        <v>10</v>
      </c>
    </row>
    <row r="86" spans="1:29" x14ac:dyDescent="0.3">
      <c r="N86" s="14"/>
      <c r="O86" s="64" t="s">
        <v>78</v>
      </c>
      <c r="P86" s="118">
        <f>SUM(P81:P85)</f>
        <v>2</v>
      </c>
      <c r="R86" s="62">
        <f>SUM(R81:R85)</f>
        <v>0</v>
      </c>
      <c r="S86" s="62">
        <f t="shared" ref="S86:AB86" si="136">SUM(S81:S85)</f>
        <v>0</v>
      </c>
      <c r="T86" s="62">
        <f t="shared" si="136"/>
        <v>0</v>
      </c>
      <c r="U86" s="62">
        <f t="shared" si="136"/>
        <v>0</v>
      </c>
      <c r="V86" s="62">
        <f t="shared" si="136"/>
        <v>0</v>
      </c>
      <c r="W86" s="62">
        <f t="shared" si="136"/>
        <v>200000</v>
      </c>
      <c r="X86" s="62">
        <f t="shared" si="136"/>
        <v>200000</v>
      </c>
      <c r="Y86" s="62">
        <f t="shared" si="136"/>
        <v>200000</v>
      </c>
      <c r="Z86" s="62">
        <f t="shared" si="136"/>
        <v>200000</v>
      </c>
      <c r="AA86" s="62">
        <f t="shared" si="136"/>
        <v>200000</v>
      </c>
      <c r="AB86" s="62">
        <f t="shared" si="136"/>
        <v>1000000</v>
      </c>
      <c r="AC86" s="5" t="s">
        <v>20</v>
      </c>
    </row>
    <row r="88" spans="1:29" s="60" customFormat="1" ht="28.5" customHeight="1" thickBot="1" x14ac:dyDescent="0.35">
      <c r="A88" s="58" t="s">
        <v>4</v>
      </c>
      <c r="B88" s="58"/>
      <c r="R88" s="59"/>
      <c r="S88" s="59"/>
      <c r="T88" s="59"/>
      <c r="U88" s="59"/>
      <c r="V88" s="59"/>
      <c r="W88" s="59"/>
      <c r="X88" s="59"/>
      <c r="Y88" s="59"/>
      <c r="Z88" s="59"/>
      <c r="AA88" s="59"/>
      <c r="AB88" s="59"/>
      <c r="AC88" s="59"/>
    </row>
    <row r="89" spans="1:29" ht="15" outlineLevel="1" thickBot="1" x14ac:dyDescent="0.35">
      <c r="A89" s="5" t="s">
        <v>4</v>
      </c>
      <c r="B89" s="5"/>
      <c r="O89" s="10"/>
      <c r="P89" s="18" t="s">
        <v>18</v>
      </c>
      <c r="R89" s="53">
        <v>1</v>
      </c>
      <c r="S89" s="54">
        <v>2</v>
      </c>
      <c r="T89" s="54">
        <v>3</v>
      </c>
      <c r="U89" s="54">
        <v>4</v>
      </c>
      <c r="V89" s="55">
        <v>5</v>
      </c>
      <c r="W89" s="53">
        <v>1</v>
      </c>
      <c r="X89" s="54">
        <v>2</v>
      </c>
      <c r="Y89" s="54">
        <v>3</v>
      </c>
      <c r="Z89" s="54">
        <v>4</v>
      </c>
      <c r="AA89" s="55">
        <v>5</v>
      </c>
      <c r="AB89" s="57" t="s">
        <v>20</v>
      </c>
    </row>
    <row r="90" spans="1:29" outlineLevel="1" x14ac:dyDescent="0.3">
      <c r="A90" t="s">
        <v>37</v>
      </c>
      <c r="D90" s="26">
        <v>7000</v>
      </c>
      <c r="O90" s="14" t="s">
        <v>6</v>
      </c>
      <c r="P90" s="33">
        <f>$O$19</f>
        <v>12</v>
      </c>
      <c r="R90" s="19">
        <f>$P90*($D$90*(1-$D$91))</f>
        <v>58800</v>
      </c>
      <c r="S90" s="19"/>
      <c r="T90" s="19"/>
      <c r="U90" s="19"/>
      <c r="V90" s="19"/>
      <c r="W90" s="19">
        <f t="shared" ref="W90:AA94" si="137">IF(W$89&gt;=$D$94,$P90*($D$93*(1-$D$91)),0)</f>
        <v>0</v>
      </c>
      <c r="X90" s="19">
        <f t="shared" si="137"/>
        <v>5879.9999999999991</v>
      </c>
      <c r="Y90" s="19">
        <f t="shared" si="137"/>
        <v>5879.9999999999991</v>
      </c>
      <c r="Z90" s="19">
        <f t="shared" si="137"/>
        <v>5879.9999999999991</v>
      </c>
      <c r="AA90" s="19">
        <f t="shared" si="137"/>
        <v>5879.9999999999991</v>
      </c>
      <c r="AB90" s="20">
        <f>SUM(R90:AA90)</f>
        <v>82320</v>
      </c>
      <c r="AC90" s="1" t="s">
        <v>6</v>
      </c>
    </row>
    <row r="91" spans="1:29" outlineLevel="1" x14ac:dyDescent="0.3">
      <c r="A91" t="s">
        <v>73</v>
      </c>
      <c r="D91" s="17">
        <v>0.3</v>
      </c>
      <c r="O91" s="14" t="s">
        <v>7</v>
      </c>
      <c r="P91" s="33">
        <f>$O$20</f>
        <v>6</v>
      </c>
      <c r="R91" s="19">
        <f>$P91*($D$90*(1-$D$91))</f>
        <v>29400</v>
      </c>
      <c r="S91" s="19"/>
      <c r="T91" s="19"/>
      <c r="U91" s="19"/>
      <c r="V91" s="19"/>
      <c r="W91" s="19">
        <f t="shared" si="137"/>
        <v>0</v>
      </c>
      <c r="X91" s="19">
        <f t="shared" si="137"/>
        <v>2939.9999999999995</v>
      </c>
      <c r="Y91" s="19">
        <f t="shared" si="137"/>
        <v>2939.9999999999995</v>
      </c>
      <c r="Z91" s="19">
        <f t="shared" si="137"/>
        <v>2939.9999999999995</v>
      </c>
      <c r="AA91" s="19">
        <f t="shared" si="137"/>
        <v>2939.9999999999995</v>
      </c>
      <c r="AB91" s="20">
        <f t="shared" ref="AB91:AB94" si="138">SUM(R91:AA91)</f>
        <v>41160</v>
      </c>
      <c r="AC91" s="1" t="s">
        <v>7</v>
      </c>
    </row>
    <row r="92" spans="1:29" outlineLevel="1" x14ac:dyDescent="0.3">
      <c r="A92" t="s">
        <v>74</v>
      </c>
      <c r="D92" s="17">
        <v>0.1</v>
      </c>
      <c r="J92" s="63"/>
      <c r="O92" s="14" t="s">
        <v>8</v>
      </c>
      <c r="P92" s="33">
        <f>$O$21</f>
        <v>6</v>
      </c>
      <c r="R92" s="19">
        <f>$P92*($D$90*(1-$D$91))</f>
        <v>29400</v>
      </c>
      <c r="S92" s="19"/>
      <c r="T92" s="19"/>
      <c r="U92" s="19"/>
      <c r="V92" s="19"/>
      <c r="W92" s="19">
        <f t="shared" si="137"/>
        <v>0</v>
      </c>
      <c r="X92" s="19">
        <f t="shared" si="137"/>
        <v>2939.9999999999995</v>
      </c>
      <c r="Y92" s="19">
        <f t="shared" si="137"/>
        <v>2939.9999999999995</v>
      </c>
      <c r="Z92" s="19">
        <f t="shared" si="137"/>
        <v>2939.9999999999995</v>
      </c>
      <c r="AA92" s="19">
        <f t="shared" si="137"/>
        <v>2939.9999999999995</v>
      </c>
      <c r="AB92" s="20">
        <f t="shared" si="138"/>
        <v>41160</v>
      </c>
      <c r="AC92" s="1" t="s">
        <v>8</v>
      </c>
    </row>
    <row r="93" spans="1:29" outlineLevel="1" x14ac:dyDescent="0.3">
      <c r="A93" t="s">
        <v>75</v>
      </c>
      <c r="D93" s="19">
        <f>D90*D92</f>
        <v>700</v>
      </c>
      <c r="O93" s="14" t="s">
        <v>9</v>
      </c>
      <c r="P93" s="33">
        <f>$O$22</f>
        <v>12</v>
      </c>
      <c r="R93" s="19">
        <f>$P93*($D$90*(1-$D$91))</f>
        <v>58800</v>
      </c>
      <c r="S93" s="19"/>
      <c r="T93" s="19"/>
      <c r="U93" s="19"/>
      <c r="V93" s="19"/>
      <c r="W93" s="19">
        <f t="shared" si="137"/>
        <v>0</v>
      </c>
      <c r="X93" s="19">
        <f t="shared" si="137"/>
        <v>5879.9999999999991</v>
      </c>
      <c r="Y93" s="19">
        <f t="shared" si="137"/>
        <v>5879.9999999999991</v>
      </c>
      <c r="Z93" s="19">
        <f t="shared" si="137"/>
        <v>5879.9999999999991</v>
      </c>
      <c r="AA93" s="19">
        <f t="shared" si="137"/>
        <v>5879.9999999999991</v>
      </c>
      <c r="AB93" s="20">
        <f t="shared" si="138"/>
        <v>82320</v>
      </c>
      <c r="AC93" s="1" t="s">
        <v>9</v>
      </c>
    </row>
    <row r="94" spans="1:29" outlineLevel="1" x14ac:dyDescent="0.3">
      <c r="A94" t="s">
        <v>16</v>
      </c>
      <c r="D94" s="13">
        <v>2</v>
      </c>
      <c r="O94" s="14" t="s">
        <v>10</v>
      </c>
      <c r="P94" s="33">
        <f>$O$23</f>
        <v>24</v>
      </c>
      <c r="R94" s="19">
        <f>$P94*($D$90*(1-$D$91))</f>
        <v>117600</v>
      </c>
      <c r="S94" s="19"/>
      <c r="T94" s="19"/>
      <c r="U94" s="19"/>
      <c r="V94" s="19"/>
      <c r="W94" s="19">
        <f t="shared" si="137"/>
        <v>0</v>
      </c>
      <c r="X94" s="19">
        <f t="shared" si="137"/>
        <v>11759.999999999998</v>
      </c>
      <c r="Y94" s="19">
        <f t="shared" si="137"/>
        <v>11759.999999999998</v>
      </c>
      <c r="Z94" s="19">
        <f t="shared" si="137"/>
        <v>11759.999999999998</v>
      </c>
      <c r="AA94" s="19">
        <f t="shared" si="137"/>
        <v>11759.999999999998</v>
      </c>
      <c r="AB94" s="20">
        <f t="shared" si="138"/>
        <v>164640</v>
      </c>
      <c r="AC94" s="1" t="s">
        <v>10</v>
      </c>
    </row>
    <row r="95" spans="1:29" x14ac:dyDescent="0.3">
      <c r="O95" s="64" t="s">
        <v>76</v>
      </c>
      <c r="P95" s="50">
        <f>SUM(P90:P94)</f>
        <v>60</v>
      </c>
      <c r="R95" s="62">
        <f>SUM(R90:R94)</f>
        <v>294000</v>
      </c>
      <c r="S95" s="62">
        <f t="shared" ref="S95" si="139">SUM(S90:S94)</f>
        <v>0</v>
      </c>
      <c r="T95" s="62">
        <f t="shared" ref="T95" si="140">SUM(T90:T94)</f>
        <v>0</v>
      </c>
      <c r="U95" s="62">
        <f t="shared" ref="U95" si="141">SUM(U90:U94)</f>
        <v>0</v>
      </c>
      <c r="V95" s="62">
        <f t="shared" ref="V95" si="142">SUM(V90:V94)</f>
        <v>0</v>
      </c>
      <c r="W95" s="62">
        <f t="shared" ref="W95" si="143">SUM(W90:W94)</f>
        <v>0</v>
      </c>
      <c r="X95" s="62">
        <f t="shared" ref="X95" si="144">SUM(X90:X94)</f>
        <v>29399.999999999993</v>
      </c>
      <c r="Y95" s="62">
        <f t="shared" ref="Y95" si="145">SUM(Y90:Y94)</f>
        <v>29399.999999999993</v>
      </c>
      <c r="Z95" s="62">
        <f t="shared" ref="Z95" si="146">SUM(Z90:Z94)</f>
        <v>29399.999999999993</v>
      </c>
      <c r="AA95" s="62">
        <f t="shared" ref="AA95" si="147">SUM(AA90:AA94)</f>
        <v>29399.999999999993</v>
      </c>
      <c r="AB95" s="62">
        <f t="shared" ref="AB95" si="148">SUM(AB90:AB94)</f>
        <v>411600</v>
      </c>
      <c r="AC95" s="5" t="s">
        <v>20</v>
      </c>
    </row>
    <row r="97" spans="1:29" s="60" customFormat="1" ht="28.5" customHeight="1" thickBot="1" x14ac:dyDescent="0.35">
      <c r="A97" s="58" t="s">
        <v>5</v>
      </c>
      <c r="B97" s="58"/>
      <c r="R97" s="59"/>
      <c r="S97" s="59"/>
      <c r="T97" s="59"/>
      <c r="U97" s="59"/>
      <c r="V97" s="59"/>
      <c r="W97" s="59"/>
      <c r="X97" s="59"/>
      <c r="Y97" s="59"/>
      <c r="Z97" s="59"/>
      <c r="AA97" s="59"/>
      <c r="AB97" s="59"/>
      <c r="AC97" s="59"/>
    </row>
    <row r="98" spans="1:29" ht="29.4" outlineLevel="1" thickBot="1" x14ac:dyDescent="0.35">
      <c r="A98" s="5" t="s">
        <v>47</v>
      </c>
      <c r="B98" s="5"/>
      <c r="N98" s="10"/>
      <c r="O98" s="18" t="s">
        <v>18</v>
      </c>
      <c r="P98" s="18" t="s">
        <v>45</v>
      </c>
      <c r="Q98" s="18" t="s">
        <v>46</v>
      </c>
      <c r="R98" s="53">
        <v>1</v>
      </c>
      <c r="S98" s="54">
        <v>2</v>
      </c>
      <c r="T98" s="54">
        <v>3</v>
      </c>
      <c r="U98" s="54">
        <v>4</v>
      </c>
      <c r="V98" s="55">
        <v>5</v>
      </c>
      <c r="W98" s="53">
        <v>1</v>
      </c>
      <c r="X98" s="54">
        <v>2</v>
      </c>
      <c r="Y98" s="54">
        <v>3</v>
      </c>
      <c r="Z98" s="54">
        <v>4</v>
      </c>
      <c r="AA98" s="55">
        <v>5</v>
      </c>
      <c r="AB98" s="57" t="s">
        <v>20</v>
      </c>
    </row>
    <row r="99" spans="1:29" outlineLevel="2" x14ac:dyDescent="0.3">
      <c r="A99" t="s">
        <v>39</v>
      </c>
      <c r="C99" s="1" t="s">
        <v>43</v>
      </c>
      <c r="D99" s="25">
        <v>2.6</v>
      </c>
      <c r="N99" s="14" t="s">
        <v>6</v>
      </c>
      <c r="O99" s="33">
        <f>$O$19</f>
        <v>12</v>
      </c>
      <c r="P99" s="37">
        <f>$O99/$D$100</f>
        <v>0.8</v>
      </c>
      <c r="Q99" s="37">
        <f>ROUNDUP($P99*$D$99,0)</f>
        <v>3</v>
      </c>
      <c r="R99" s="19"/>
      <c r="S99" s="19"/>
      <c r="T99" s="19"/>
      <c r="U99" s="19"/>
      <c r="V99" s="19"/>
      <c r="W99" s="19">
        <f>$Q99*$D$101</f>
        <v>9204</v>
      </c>
      <c r="X99" s="19">
        <f t="shared" ref="X99:AA99" si="149">$Q99*$D$101</f>
        <v>9204</v>
      </c>
      <c r="Y99" s="19">
        <f t="shared" si="149"/>
        <v>9204</v>
      </c>
      <c r="Z99" s="19">
        <f t="shared" si="149"/>
        <v>9204</v>
      </c>
      <c r="AA99" s="19">
        <f t="shared" si="149"/>
        <v>9204</v>
      </c>
      <c r="AB99" s="20">
        <f>SUM(R99:AA99)</f>
        <v>46020</v>
      </c>
      <c r="AC99" s="1" t="s">
        <v>6</v>
      </c>
    </row>
    <row r="100" spans="1:29" outlineLevel="2" x14ac:dyDescent="0.3">
      <c r="A100" s="4" t="s">
        <v>38</v>
      </c>
      <c r="B100" s="4"/>
      <c r="C100" s="1"/>
      <c r="D100" s="140">
        <f>$J$5</f>
        <v>15</v>
      </c>
      <c r="N100" s="14" t="s">
        <v>7</v>
      </c>
      <c r="O100" s="33">
        <f>$O$20</f>
        <v>6</v>
      </c>
      <c r="P100" s="37">
        <f t="shared" ref="P100:P103" si="150">$O100/$D$100</f>
        <v>0.4</v>
      </c>
      <c r="Q100" s="37">
        <f t="shared" ref="Q100:Q102" si="151">$P100*$D$99</f>
        <v>1.04</v>
      </c>
      <c r="R100" s="19"/>
      <c r="S100" s="19"/>
      <c r="T100" s="19"/>
      <c r="U100" s="19"/>
      <c r="V100" s="19"/>
      <c r="W100" s="19">
        <f t="shared" ref="W100:AA103" si="152">$Q100*$D$101</f>
        <v>3190.7200000000003</v>
      </c>
      <c r="X100" s="19">
        <f t="shared" si="152"/>
        <v>3190.7200000000003</v>
      </c>
      <c r="Y100" s="19">
        <f t="shared" si="152"/>
        <v>3190.7200000000003</v>
      </c>
      <c r="Z100" s="19">
        <f t="shared" si="152"/>
        <v>3190.7200000000003</v>
      </c>
      <c r="AA100" s="19">
        <f t="shared" si="152"/>
        <v>3190.7200000000003</v>
      </c>
      <c r="AB100" s="20">
        <f t="shared" ref="AB100:AB103" si="153">SUM(R100:AA100)</f>
        <v>15953.600000000002</v>
      </c>
      <c r="AC100" s="1" t="s">
        <v>7</v>
      </c>
    </row>
    <row r="101" spans="1:29" outlineLevel="2" x14ac:dyDescent="0.3">
      <c r="A101" t="s">
        <v>40</v>
      </c>
      <c r="C101" s="1" t="s">
        <v>226</v>
      </c>
      <c r="D101" s="34">
        <f>2600*Data!C1</f>
        <v>3068</v>
      </c>
      <c r="N101" s="14" t="s">
        <v>8</v>
      </c>
      <c r="O101" s="33">
        <f>$O$21</f>
        <v>6</v>
      </c>
      <c r="P101" s="37">
        <f t="shared" si="150"/>
        <v>0.4</v>
      </c>
      <c r="Q101" s="37">
        <f t="shared" si="151"/>
        <v>1.04</v>
      </c>
      <c r="R101" s="19"/>
      <c r="S101" s="19"/>
      <c r="T101" s="19"/>
      <c r="U101" s="19"/>
      <c r="V101" s="19"/>
      <c r="W101" s="19">
        <f t="shared" si="152"/>
        <v>3190.7200000000003</v>
      </c>
      <c r="X101" s="19">
        <f t="shared" si="152"/>
        <v>3190.7200000000003</v>
      </c>
      <c r="Y101" s="19">
        <f t="shared" si="152"/>
        <v>3190.7200000000003</v>
      </c>
      <c r="Z101" s="19">
        <f t="shared" si="152"/>
        <v>3190.7200000000003</v>
      </c>
      <c r="AA101" s="19">
        <f t="shared" si="152"/>
        <v>3190.7200000000003</v>
      </c>
      <c r="AB101" s="20">
        <f t="shared" si="153"/>
        <v>15953.600000000002</v>
      </c>
      <c r="AC101" s="1" t="s">
        <v>8</v>
      </c>
    </row>
    <row r="102" spans="1:29" outlineLevel="2" x14ac:dyDescent="0.3">
      <c r="N102" s="14" t="s">
        <v>9</v>
      </c>
      <c r="O102" s="33">
        <f>$O$22</f>
        <v>12</v>
      </c>
      <c r="P102" s="37">
        <f t="shared" si="150"/>
        <v>0.8</v>
      </c>
      <c r="Q102" s="37">
        <f t="shared" si="151"/>
        <v>2.08</v>
      </c>
      <c r="R102" s="19"/>
      <c r="S102" s="19"/>
      <c r="T102" s="19"/>
      <c r="U102" s="19"/>
      <c r="V102" s="19"/>
      <c r="W102" s="19">
        <f t="shared" si="152"/>
        <v>6381.4400000000005</v>
      </c>
      <c r="X102" s="19">
        <f t="shared" si="152"/>
        <v>6381.4400000000005</v>
      </c>
      <c r="Y102" s="19">
        <f t="shared" si="152"/>
        <v>6381.4400000000005</v>
      </c>
      <c r="Z102" s="19">
        <f t="shared" si="152"/>
        <v>6381.4400000000005</v>
      </c>
      <c r="AA102" s="19">
        <f t="shared" si="152"/>
        <v>6381.4400000000005</v>
      </c>
      <c r="AB102" s="20">
        <f t="shared" si="153"/>
        <v>31907.200000000004</v>
      </c>
      <c r="AC102" s="1" t="s">
        <v>9</v>
      </c>
    </row>
    <row r="103" spans="1:29" outlineLevel="2" x14ac:dyDescent="0.3">
      <c r="N103" s="14" t="s">
        <v>10</v>
      </c>
      <c r="O103" s="33">
        <f>$O$23</f>
        <v>24</v>
      </c>
      <c r="P103" s="37">
        <f t="shared" si="150"/>
        <v>1.6</v>
      </c>
      <c r="Q103" s="37">
        <f>ROUNDUP($P103*$D$99,0)</f>
        <v>5</v>
      </c>
      <c r="R103" s="19"/>
      <c r="S103" s="19"/>
      <c r="T103" s="19"/>
      <c r="U103" s="19"/>
      <c r="V103" s="19"/>
      <c r="W103" s="19">
        <f t="shared" si="152"/>
        <v>15340</v>
      </c>
      <c r="X103" s="19">
        <f t="shared" si="152"/>
        <v>15340</v>
      </c>
      <c r="Y103" s="19">
        <f t="shared" si="152"/>
        <v>15340</v>
      </c>
      <c r="Z103" s="19">
        <f t="shared" si="152"/>
        <v>15340</v>
      </c>
      <c r="AA103" s="19">
        <f t="shared" si="152"/>
        <v>15340</v>
      </c>
      <c r="AB103" s="20">
        <f t="shared" si="153"/>
        <v>76700</v>
      </c>
      <c r="AC103" s="1" t="s">
        <v>10</v>
      </c>
    </row>
    <row r="104" spans="1:29" outlineLevel="1" x14ac:dyDescent="0.3">
      <c r="N104" s="14"/>
      <c r="O104" s="50">
        <f>SUM(O99:O103)</f>
        <v>60</v>
      </c>
      <c r="P104" s="65">
        <f>SUM(P99:P103)</f>
        <v>4</v>
      </c>
      <c r="Q104" s="65">
        <f>SUM(Q99:Q103)</f>
        <v>12.16</v>
      </c>
      <c r="R104" s="61">
        <f t="shared" ref="R104" si="154">SUM(R99:R103)</f>
        <v>0</v>
      </c>
      <c r="S104" s="61">
        <f t="shared" ref="S104" si="155">SUM(S99:S103)</f>
        <v>0</v>
      </c>
      <c r="T104" s="61">
        <f t="shared" ref="T104" si="156">SUM(T99:T103)</f>
        <v>0</v>
      </c>
      <c r="U104" s="61">
        <f t="shared" ref="U104" si="157">SUM(U99:U103)</f>
        <v>0</v>
      </c>
      <c r="V104" s="61">
        <f t="shared" ref="V104" si="158">SUM(V99:V103)</f>
        <v>0</v>
      </c>
      <c r="W104" s="61">
        <f t="shared" ref="W104" si="159">SUM(W99:W103)</f>
        <v>37306.880000000005</v>
      </c>
      <c r="X104" s="61">
        <f t="shared" ref="X104" si="160">SUM(X99:X103)</f>
        <v>37306.880000000005</v>
      </c>
      <c r="Y104" s="61">
        <f t="shared" ref="Y104" si="161">SUM(Y99:Y103)</f>
        <v>37306.880000000005</v>
      </c>
      <c r="Z104" s="61">
        <f t="shared" ref="Z104" si="162">SUM(Z99:Z103)</f>
        <v>37306.880000000005</v>
      </c>
      <c r="AA104" s="61">
        <f t="shared" ref="AA104" si="163">SUM(AA99:AA103)</f>
        <v>37306.880000000005</v>
      </c>
      <c r="AB104" s="62">
        <f t="shared" ref="AB104" si="164">SUM(AB99:AB103)</f>
        <v>186534.40000000002</v>
      </c>
      <c r="AC104" s="5" t="s">
        <v>20</v>
      </c>
    </row>
    <row r="105" spans="1:29" ht="28.8" outlineLevel="1" x14ac:dyDescent="0.3">
      <c r="O105" s="18" t="s">
        <v>18</v>
      </c>
      <c r="P105" s="18" t="s">
        <v>45</v>
      </c>
      <c r="Q105" s="37">
        <f>ROUNDUP($P104*$D$99,0)</f>
        <v>11</v>
      </c>
      <c r="W105" s="19">
        <f>$Q104*$D$101</f>
        <v>37306.879999999997</v>
      </c>
    </row>
    <row r="106" spans="1:29" ht="15" outlineLevel="1" thickBot="1" x14ac:dyDescent="0.35"/>
    <row r="107" spans="1:29" ht="29.4" outlineLevel="1" thickBot="1" x14ac:dyDescent="0.35">
      <c r="A107" s="5" t="s">
        <v>50</v>
      </c>
      <c r="O107" s="18" t="s">
        <v>44</v>
      </c>
      <c r="P107" s="18" t="s">
        <v>82</v>
      </c>
      <c r="R107" s="53">
        <v>1</v>
      </c>
      <c r="S107" s="54">
        <v>2</v>
      </c>
      <c r="T107" s="54">
        <v>3</v>
      </c>
      <c r="U107" s="54">
        <v>4</v>
      </c>
      <c r="V107" s="55">
        <v>5</v>
      </c>
      <c r="W107" s="53">
        <v>1</v>
      </c>
      <c r="X107" s="54">
        <v>2</v>
      </c>
      <c r="Y107" s="54">
        <v>3</v>
      </c>
      <c r="Z107" s="54">
        <v>4</v>
      </c>
      <c r="AA107" s="55">
        <v>5</v>
      </c>
      <c r="AB107" s="57" t="s">
        <v>20</v>
      </c>
    </row>
    <row r="108" spans="1:29" outlineLevel="2" x14ac:dyDescent="0.3">
      <c r="A108" t="s">
        <v>80</v>
      </c>
      <c r="C108" s="1" t="s">
        <v>225</v>
      </c>
      <c r="D108" s="35">
        <f>0.1*Data!C1</f>
        <v>0.11799999999999999</v>
      </c>
      <c r="N108" s="14" t="s">
        <v>6</v>
      </c>
      <c r="O108" s="33">
        <f>$O$19</f>
        <v>12</v>
      </c>
      <c r="P108" s="42">
        <f>$D$111*O108</f>
        <v>168192.00000000003</v>
      </c>
      <c r="R108" s="19"/>
      <c r="S108" s="19"/>
      <c r="T108" s="19"/>
      <c r="U108" s="19"/>
      <c r="V108" s="19"/>
      <c r="W108" s="19">
        <f>$P108*$D$108</f>
        <v>19846.656000000003</v>
      </c>
      <c r="X108" s="19">
        <f t="shared" ref="X108:AA108" si="165">$P108*$D$108</f>
        <v>19846.656000000003</v>
      </c>
      <c r="Y108" s="19">
        <f t="shared" si="165"/>
        <v>19846.656000000003</v>
      </c>
      <c r="Z108" s="19">
        <f t="shared" si="165"/>
        <v>19846.656000000003</v>
      </c>
      <c r="AA108" s="19">
        <f t="shared" si="165"/>
        <v>19846.656000000003</v>
      </c>
      <c r="AB108" s="20">
        <f>SUM(R108:AA108)</f>
        <v>99233.280000000013</v>
      </c>
      <c r="AC108" s="1" t="s">
        <v>6</v>
      </c>
    </row>
    <row r="109" spans="1:29" outlineLevel="2" x14ac:dyDescent="0.3">
      <c r="A109" t="s">
        <v>41</v>
      </c>
      <c r="C109" s="1" t="s">
        <v>42</v>
      </c>
      <c r="D109" s="17">
        <v>0.66</v>
      </c>
      <c r="N109" s="14" t="s">
        <v>7</v>
      </c>
      <c r="O109" s="33">
        <f>$O$20</f>
        <v>6</v>
      </c>
      <c r="P109" s="42">
        <f t="shared" ref="P109:P112" si="166">$D$111*O109</f>
        <v>84096.000000000015</v>
      </c>
      <c r="R109" s="19"/>
      <c r="S109" s="19"/>
      <c r="T109" s="19"/>
      <c r="U109" s="19"/>
      <c r="V109" s="19"/>
      <c r="W109" s="19">
        <f t="shared" ref="W109:AA112" si="167">$P109*$D$108</f>
        <v>9923.3280000000013</v>
      </c>
      <c r="X109" s="19">
        <f t="shared" si="167"/>
        <v>9923.3280000000013</v>
      </c>
      <c r="Y109" s="19">
        <f t="shared" si="167"/>
        <v>9923.3280000000013</v>
      </c>
      <c r="Z109" s="19">
        <f t="shared" si="167"/>
        <v>9923.3280000000013</v>
      </c>
      <c r="AA109" s="19">
        <f t="shared" si="167"/>
        <v>9923.3280000000013</v>
      </c>
      <c r="AB109" s="20">
        <f t="shared" ref="AB109:AB112" si="168">SUM(R109:AA109)</f>
        <v>49616.640000000007</v>
      </c>
      <c r="AC109" s="1" t="s">
        <v>7</v>
      </c>
    </row>
    <row r="110" spans="1:29" outlineLevel="2" x14ac:dyDescent="0.3">
      <c r="A110" t="s">
        <v>48</v>
      </c>
      <c r="C110" s="1" t="s">
        <v>49</v>
      </c>
      <c r="D110" s="101">
        <f>L5</f>
        <v>1.6</v>
      </c>
      <c r="H110" s="38"/>
      <c r="N110" s="14" t="s">
        <v>8</v>
      </c>
      <c r="O110" s="33">
        <f>$O$21</f>
        <v>6</v>
      </c>
      <c r="P110" s="42">
        <f t="shared" si="166"/>
        <v>84096.000000000015</v>
      </c>
      <c r="R110" s="19"/>
      <c r="S110" s="19"/>
      <c r="T110" s="19"/>
      <c r="U110" s="19"/>
      <c r="V110" s="19"/>
      <c r="W110" s="19">
        <f t="shared" si="167"/>
        <v>9923.3280000000013</v>
      </c>
      <c r="X110" s="19">
        <f t="shared" si="167"/>
        <v>9923.3280000000013</v>
      </c>
      <c r="Y110" s="19">
        <f t="shared" si="167"/>
        <v>9923.3280000000013</v>
      </c>
      <c r="Z110" s="19">
        <f t="shared" si="167"/>
        <v>9923.3280000000013</v>
      </c>
      <c r="AA110" s="19">
        <f t="shared" si="167"/>
        <v>9923.3280000000013</v>
      </c>
      <c r="AB110" s="20">
        <f t="shared" si="168"/>
        <v>49616.640000000007</v>
      </c>
      <c r="AC110" s="1" t="s">
        <v>8</v>
      </c>
    </row>
    <row r="111" spans="1:29" outlineLevel="2" x14ac:dyDescent="0.3">
      <c r="A111" t="s">
        <v>81</v>
      </c>
      <c r="C111" s="1" t="s">
        <v>49</v>
      </c>
      <c r="D111" s="37">
        <f>$D$110*24*365</f>
        <v>14016.000000000002</v>
      </c>
      <c r="H111" s="37"/>
      <c r="N111" s="14" t="s">
        <v>9</v>
      </c>
      <c r="O111" s="33">
        <f>$O$22</f>
        <v>12</v>
      </c>
      <c r="P111" s="42">
        <f t="shared" si="166"/>
        <v>168192.00000000003</v>
      </c>
      <c r="R111" s="19"/>
      <c r="S111" s="19"/>
      <c r="T111" s="19"/>
      <c r="U111" s="19"/>
      <c r="V111" s="19"/>
      <c r="W111" s="19">
        <f t="shared" si="167"/>
        <v>19846.656000000003</v>
      </c>
      <c r="X111" s="19">
        <f t="shared" si="167"/>
        <v>19846.656000000003</v>
      </c>
      <c r="Y111" s="19">
        <f t="shared" si="167"/>
        <v>19846.656000000003</v>
      </c>
      <c r="Z111" s="19">
        <f t="shared" si="167"/>
        <v>19846.656000000003</v>
      </c>
      <c r="AA111" s="19">
        <f t="shared" si="167"/>
        <v>19846.656000000003</v>
      </c>
      <c r="AB111" s="20">
        <f t="shared" si="168"/>
        <v>99233.280000000013</v>
      </c>
      <c r="AC111" s="1" t="s">
        <v>9</v>
      </c>
    </row>
    <row r="112" spans="1:29" outlineLevel="2" x14ac:dyDescent="0.3">
      <c r="H112" s="1"/>
      <c r="N112" s="14" t="s">
        <v>10</v>
      </c>
      <c r="O112" s="33">
        <f>$O$23</f>
        <v>24</v>
      </c>
      <c r="P112" s="42">
        <f t="shared" si="166"/>
        <v>336384.00000000006</v>
      </c>
      <c r="R112" s="19"/>
      <c r="S112" s="19"/>
      <c r="T112" s="19"/>
      <c r="U112" s="19"/>
      <c r="V112" s="19"/>
      <c r="W112" s="19">
        <f t="shared" si="167"/>
        <v>39693.312000000005</v>
      </c>
      <c r="X112" s="19">
        <f t="shared" si="167"/>
        <v>39693.312000000005</v>
      </c>
      <c r="Y112" s="19">
        <f t="shared" si="167"/>
        <v>39693.312000000005</v>
      </c>
      <c r="Z112" s="19">
        <f t="shared" si="167"/>
        <v>39693.312000000005</v>
      </c>
      <c r="AA112" s="19">
        <f t="shared" si="167"/>
        <v>39693.312000000005</v>
      </c>
      <c r="AB112" s="20">
        <f t="shared" si="168"/>
        <v>198466.56000000003</v>
      </c>
      <c r="AC112" s="1" t="s">
        <v>10</v>
      </c>
    </row>
    <row r="113" spans="1:29" outlineLevel="1" x14ac:dyDescent="0.3">
      <c r="N113" s="14"/>
      <c r="O113" s="50">
        <f>SUM(O108:O112)</f>
        <v>60</v>
      </c>
      <c r="P113" s="66">
        <f>SUM(P108:P112)</f>
        <v>840960.00000000023</v>
      </c>
      <c r="R113" s="61">
        <f t="shared" ref="R113" si="169">SUM(R108:R112)</f>
        <v>0</v>
      </c>
      <c r="S113" s="61">
        <f t="shared" ref="S113" si="170">SUM(S108:S112)</f>
        <v>0</v>
      </c>
      <c r="T113" s="61">
        <f t="shared" ref="T113" si="171">SUM(T108:T112)</f>
        <v>0</v>
      </c>
      <c r="U113" s="61">
        <f t="shared" ref="U113" si="172">SUM(U108:U112)</f>
        <v>0</v>
      </c>
      <c r="V113" s="61">
        <f t="shared" ref="V113" si="173">SUM(V108:V112)</f>
        <v>0</v>
      </c>
      <c r="W113" s="61">
        <f t="shared" ref="W113" si="174">SUM(W108:W112)</f>
        <v>99233.280000000013</v>
      </c>
      <c r="X113" s="61">
        <f t="shared" ref="X113" si="175">SUM(X108:X112)</f>
        <v>99233.280000000013</v>
      </c>
      <c r="Y113" s="61">
        <f t="shared" ref="Y113" si="176">SUM(Y108:Y112)</f>
        <v>99233.280000000013</v>
      </c>
      <c r="Z113" s="61">
        <f t="shared" ref="Z113" si="177">SUM(Z108:Z112)</f>
        <v>99233.280000000013</v>
      </c>
      <c r="AA113" s="61">
        <f t="shared" ref="AA113" si="178">SUM(AA108:AA112)</f>
        <v>99233.280000000013</v>
      </c>
      <c r="AB113" s="62">
        <f t="shared" ref="AB113" si="179">SUM(AB108:AB112)</f>
        <v>496166.40000000002</v>
      </c>
      <c r="AC113" s="5" t="s">
        <v>20</v>
      </c>
    </row>
    <row r="114" spans="1:29" ht="28.8" outlineLevel="1" x14ac:dyDescent="0.3">
      <c r="O114" s="18" t="s">
        <v>44</v>
      </c>
      <c r="P114" s="18" t="s">
        <v>82</v>
      </c>
    </row>
    <row r="115" spans="1:29" outlineLevel="1" x14ac:dyDescent="0.3"/>
    <row r="116" spans="1:29" outlineLevel="1" x14ac:dyDescent="0.3">
      <c r="N116" s="14" t="s">
        <v>6</v>
      </c>
      <c r="R116" s="21">
        <f t="shared" ref="R116:AB116" si="180">R99+R108</f>
        <v>0</v>
      </c>
      <c r="S116" s="21">
        <f t="shared" si="180"/>
        <v>0</v>
      </c>
      <c r="T116" s="21">
        <f t="shared" si="180"/>
        <v>0</v>
      </c>
      <c r="U116" s="21">
        <f t="shared" si="180"/>
        <v>0</v>
      </c>
      <c r="V116" s="21">
        <f t="shared" si="180"/>
        <v>0</v>
      </c>
      <c r="W116" s="21">
        <f t="shared" si="180"/>
        <v>29050.656000000003</v>
      </c>
      <c r="X116" s="21">
        <f t="shared" si="180"/>
        <v>29050.656000000003</v>
      </c>
      <c r="Y116" s="21">
        <f t="shared" si="180"/>
        <v>29050.656000000003</v>
      </c>
      <c r="Z116" s="21">
        <f t="shared" si="180"/>
        <v>29050.656000000003</v>
      </c>
      <c r="AA116" s="21">
        <f t="shared" si="180"/>
        <v>29050.656000000003</v>
      </c>
      <c r="AB116" s="20">
        <f t="shared" si="180"/>
        <v>145253.28000000003</v>
      </c>
      <c r="AC116" s="1" t="s">
        <v>6</v>
      </c>
    </row>
    <row r="117" spans="1:29" outlineLevel="1" x14ac:dyDescent="0.3">
      <c r="N117" s="14" t="s">
        <v>7</v>
      </c>
      <c r="R117" s="21">
        <f t="shared" ref="R117:AB117" si="181">R100+R109</f>
        <v>0</v>
      </c>
      <c r="S117" s="21">
        <f t="shared" si="181"/>
        <v>0</v>
      </c>
      <c r="T117" s="21">
        <f t="shared" si="181"/>
        <v>0</v>
      </c>
      <c r="U117" s="21">
        <f t="shared" si="181"/>
        <v>0</v>
      </c>
      <c r="V117" s="21">
        <f t="shared" si="181"/>
        <v>0</v>
      </c>
      <c r="W117" s="21">
        <f t="shared" si="181"/>
        <v>13114.048000000003</v>
      </c>
      <c r="X117" s="21">
        <f t="shared" si="181"/>
        <v>13114.048000000003</v>
      </c>
      <c r="Y117" s="21">
        <f t="shared" si="181"/>
        <v>13114.048000000003</v>
      </c>
      <c r="Z117" s="21">
        <f t="shared" si="181"/>
        <v>13114.048000000003</v>
      </c>
      <c r="AA117" s="21">
        <f t="shared" si="181"/>
        <v>13114.048000000003</v>
      </c>
      <c r="AB117" s="20">
        <f t="shared" si="181"/>
        <v>65570.240000000005</v>
      </c>
      <c r="AC117" s="1" t="s">
        <v>7</v>
      </c>
    </row>
    <row r="118" spans="1:29" outlineLevel="1" x14ac:dyDescent="0.3">
      <c r="N118" s="14" t="s">
        <v>8</v>
      </c>
      <c r="R118" s="21">
        <f t="shared" ref="R118:AB118" si="182">R101+R110</f>
        <v>0</v>
      </c>
      <c r="S118" s="21">
        <f t="shared" si="182"/>
        <v>0</v>
      </c>
      <c r="T118" s="21">
        <f t="shared" si="182"/>
        <v>0</v>
      </c>
      <c r="U118" s="21">
        <f t="shared" si="182"/>
        <v>0</v>
      </c>
      <c r="V118" s="21">
        <f t="shared" si="182"/>
        <v>0</v>
      </c>
      <c r="W118" s="21">
        <f t="shared" si="182"/>
        <v>13114.048000000003</v>
      </c>
      <c r="X118" s="21">
        <f t="shared" si="182"/>
        <v>13114.048000000003</v>
      </c>
      <c r="Y118" s="21">
        <f t="shared" si="182"/>
        <v>13114.048000000003</v>
      </c>
      <c r="Z118" s="21">
        <f t="shared" si="182"/>
        <v>13114.048000000003</v>
      </c>
      <c r="AA118" s="21">
        <f t="shared" si="182"/>
        <v>13114.048000000003</v>
      </c>
      <c r="AB118" s="20">
        <f t="shared" si="182"/>
        <v>65570.240000000005</v>
      </c>
      <c r="AC118" s="1" t="s">
        <v>8</v>
      </c>
    </row>
    <row r="119" spans="1:29" outlineLevel="1" x14ac:dyDescent="0.3">
      <c r="N119" s="14" t="s">
        <v>9</v>
      </c>
      <c r="R119" s="21">
        <f t="shared" ref="R119:AB119" si="183">R102+R111</f>
        <v>0</v>
      </c>
      <c r="S119" s="21">
        <f t="shared" si="183"/>
        <v>0</v>
      </c>
      <c r="T119" s="21">
        <f t="shared" si="183"/>
        <v>0</v>
      </c>
      <c r="U119" s="21">
        <f t="shared" si="183"/>
        <v>0</v>
      </c>
      <c r="V119" s="21">
        <f t="shared" si="183"/>
        <v>0</v>
      </c>
      <c r="W119" s="21">
        <f t="shared" si="183"/>
        <v>26228.096000000005</v>
      </c>
      <c r="X119" s="21">
        <f t="shared" si="183"/>
        <v>26228.096000000005</v>
      </c>
      <c r="Y119" s="21">
        <f t="shared" si="183"/>
        <v>26228.096000000005</v>
      </c>
      <c r="Z119" s="21">
        <f t="shared" si="183"/>
        <v>26228.096000000005</v>
      </c>
      <c r="AA119" s="21">
        <f t="shared" si="183"/>
        <v>26228.096000000005</v>
      </c>
      <c r="AB119" s="20">
        <f t="shared" si="183"/>
        <v>131140.48000000001</v>
      </c>
      <c r="AC119" s="1" t="s">
        <v>9</v>
      </c>
    </row>
    <row r="120" spans="1:29" outlineLevel="1" x14ac:dyDescent="0.3">
      <c r="N120" s="14" t="s">
        <v>10</v>
      </c>
      <c r="R120" s="21">
        <f t="shared" ref="R120:AB120" si="184">R103+R112</f>
        <v>0</v>
      </c>
      <c r="S120" s="21">
        <f t="shared" si="184"/>
        <v>0</v>
      </c>
      <c r="T120" s="21">
        <f t="shared" si="184"/>
        <v>0</v>
      </c>
      <c r="U120" s="21">
        <f t="shared" si="184"/>
        <v>0</v>
      </c>
      <c r="V120" s="21">
        <f t="shared" si="184"/>
        <v>0</v>
      </c>
      <c r="W120" s="21">
        <f t="shared" si="184"/>
        <v>55033.312000000005</v>
      </c>
      <c r="X120" s="21">
        <f t="shared" si="184"/>
        <v>55033.312000000005</v>
      </c>
      <c r="Y120" s="21">
        <f t="shared" si="184"/>
        <v>55033.312000000005</v>
      </c>
      <c r="Z120" s="21">
        <f t="shared" si="184"/>
        <v>55033.312000000005</v>
      </c>
      <c r="AA120" s="21">
        <f t="shared" si="184"/>
        <v>55033.312000000005</v>
      </c>
      <c r="AB120" s="20">
        <f t="shared" si="184"/>
        <v>275166.56000000006</v>
      </c>
      <c r="AC120" s="1" t="s">
        <v>10</v>
      </c>
    </row>
    <row r="121" spans="1:29" x14ac:dyDescent="0.3">
      <c r="O121" s="39" t="s">
        <v>83</v>
      </c>
      <c r="R121" s="62">
        <f t="shared" ref="R121:AB121" si="185">R104+R113</f>
        <v>0</v>
      </c>
      <c r="S121" s="62">
        <f t="shared" si="185"/>
        <v>0</v>
      </c>
      <c r="T121" s="62">
        <f t="shared" si="185"/>
        <v>0</v>
      </c>
      <c r="U121" s="62">
        <f t="shared" si="185"/>
        <v>0</v>
      </c>
      <c r="V121" s="62">
        <f t="shared" si="185"/>
        <v>0</v>
      </c>
      <c r="W121" s="62">
        <f t="shared" si="185"/>
        <v>136540.16000000003</v>
      </c>
      <c r="X121" s="62">
        <f t="shared" si="185"/>
        <v>136540.16000000003</v>
      </c>
      <c r="Y121" s="62">
        <f t="shared" si="185"/>
        <v>136540.16000000003</v>
      </c>
      <c r="Z121" s="62">
        <f t="shared" si="185"/>
        <v>136540.16000000003</v>
      </c>
      <c r="AA121" s="62">
        <f t="shared" si="185"/>
        <v>136540.16000000003</v>
      </c>
      <c r="AB121" s="62">
        <f t="shared" si="185"/>
        <v>682700.80000000005</v>
      </c>
      <c r="AC121" s="5" t="s">
        <v>20</v>
      </c>
    </row>
    <row r="123" spans="1:29" s="60" customFormat="1" ht="28.5" customHeight="1" x14ac:dyDescent="0.3">
      <c r="A123" s="58"/>
      <c r="B123" s="58"/>
      <c r="R123" s="59"/>
      <c r="S123" s="59"/>
      <c r="T123" s="59"/>
      <c r="U123" s="59"/>
      <c r="V123" s="59"/>
      <c r="W123" s="59"/>
      <c r="X123" s="59"/>
      <c r="Y123" s="59"/>
      <c r="Z123" s="59"/>
      <c r="AA123" s="59"/>
      <c r="AB123" s="59"/>
      <c r="AC123" s="59"/>
    </row>
    <row r="124" spans="1:29" x14ac:dyDescent="0.3">
      <c r="P124" s="64" t="s">
        <v>107</v>
      </c>
      <c r="R124" s="62">
        <f t="shared" ref="R124:AB124" si="186">R24+R77+R86+R95+R121</f>
        <v>3580440</v>
      </c>
      <c r="S124" s="62">
        <f t="shared" si="186"/>
        <v>0</v>
      </c>
      <c r="T124" s="62">
        <f t="shared" si="186"/>
        <v>0</v>
      </c>
      <c r="U124" s="62">
        <f t="shared" si="186"/>
        <v>0</v>
      </c>
      <c r="V124" s="62">
        <f t="shared" si="186"/>
        <v>0</v>
      </c>
      <c r="W124" s="62">
        <f t="shared" si="186"/>
        <v>1938540.1600000001</v>
      </c>
      <c r="X124" s="62">
        <f t="shared" si="186"/>
        <v>2529060.16</v>
      </c>
      <c r="Y124" s="62">
        <f t="shared" si="186"/>
        <v>2529060.16</v>
      </c>
      <c r="Z124" s="62">
        <f t="shared" si="186"/>
        <v>2625060.16</v>
      </c>
      <c r="AA124" s="62">
        <f t="shared" si="186"/>
        <v>2625060.16</v>
      </c>
      <c r="AB124" s="62">
        <f t="shared" si="186"/>
        <v>15827220.800000001</v>
      </c>
      <c r="AC124" s="5" t="s">
        <v>20</v>
      </c>
    </row>
    <row r="125" spans="1:29" x14ac:dyDescent="0.3">
      <c r="P125" s="64" t="s">
        <v>108</v>
      </c>
      <c r="W125" s="62">
        <f>R124+W124</f>
        <v>5518980.1600000001</v>
      </c>
      <c r="X125" s="62">
        <f t="shared" ref="X125:AA125" si="187">S124+X124</f>
        <v>2529060.16</v>
      </c>
      <c r="Y125" s="62">
        <f t="shared" si="187"/>
        <v>2529060.16</v>
      </c>
      <c r="Z125" s="62">
        <f t="shared" si="187"/>
        <v>2625060.16</v>
      </c>
      <c r="AA125" s="62">
        <f t="shared" si="187"/>
        <v>2625060.16</v>
      </c>
      <c r="AB125" s="62">
        <f>SUM(W125:AA125)</f>
        <v>15827220.800000001</v>
      </c>
    </row>
    <row r="126" spans="1:29" x14ac:dyDescent="0.3">
      <c r="P126" s="64" t="s">
        <v>109</v>
      </c>
      <c r="W126" s="62">
        <f>W125</f>
        <v>5518980.1600000001</v>
      </c>
      <c r="X126" s="62">
        <f>W126+X125</f>
        <v>8048040.3200000003</v>
      </c>
      <c r="Y126" s="62">
        <f t="shared" ref="Y126:AA126" si="188">X126+Y125</f>
        <v>10577100.48</v>
      </c>
      <c r="Z126" s="62">
        <f t="shared" si="188"/>
        <v>13202160.640000001</v>
      </c>
      <c r="AA126" s="62">
        <f t="shared" si="188"/>
        <v>15827220.800000001</v>
      </c>
    </row>
  </sheetData>
  <mergeCells count="2">
    <mergeCell ref="R1:V1"/>
    <mergeCell ref="W1:AA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BFF5-B465-4F0A-BFAF-1695F6E0B94D}">
  <sheetPr>
    <outlinePr summaryBelow="0" summaryRight="0"/>
  </sheetPr>
  <dimension ref="A1:AC131"/>
  <sheetViews>
    <sheetView zoomScale="73" zoomScaleNormal="73" workbookViewId="0">
      <pane xSplit="1" ySplit="2" topLeftCell="B6" activePane="bottomRight" state="frozen"/>
      <selection pane="topRight" activeCell="B1" sqref="B1"/>
      <selection pane="bottomLeft" activeCell="A3" sqref="A3"/>
      <selection pane="bottomRight" activeCell="D29" sqref="D29"/>
    </sheetView>
  </sheetViews>
  <sheetFormatPr defaultRowHeight="14.4" outlineLevelRow="2" outlineLevelCol="1" x14ac:dyDescent="0.3"/>
  <cols>
    <col min="1" max="1" width="43.6640625" customWidth="1"/>
    <col min="2" max="2" width="3.6640625" customWidth="1" outlineLevel="1"/>
    <col min="3" max="3" width="15" customWidth="1" outlineLevel="1"/>
    <col min="4" max="9" width="13.109375" customWidth="1" outlineLevel="1"/>
    <col min="10" max="10" width="12.88671875" customWidth="1" outlineLevel="1"/>
    <col min="11" max="12" width="14.33203125" customWidth="1" outlineLevel="1"/>
    <col min="13" max="13" width="3.44140625" customWidth="1"/>
    <col min="14" max="14" width="6" customWidth="1" outlineLevel="1"/>
    <col min="15" max="16" width="9.88671875" customWidth="1" outlineLevel="1"/>
    <col min="17" max="17" width="14" customWidth="1" outlineLevel="1"/>
    <col min="18" max="27" width="14.6640625" customWidth="1" outlineLevel="1"/>
    <col min="28" max="28" width="14.6640625" customWidth="1"/>
  </cols>
  <sheetData>
    <row r="1" spans="1:29" ht="24" customHeight="1" x14ac:dyDescent="0.4">
      <c r="A1" s="41" t="s">
        <v>115</v>
      </c>
      <c r="B1" s="41"/>
      <c r="R1" s="191" t="s">
        <v>155</v>
      </c>
      <c r="S1" s="192"/>
      <c r="T1" s="192"/>
      <c r="U1" s="192"/>
      <c r="V1" s="193"/>
      <c r="W1" s="191" t="s">
        <v>22</v>
      </c>
      <c r="X1" s="192"/>
      <c r="Y1" s="192"/>
      <c r="Z1" s="192"/>
      <c r="AA1" s="193"/>
      <c r="AB1" s="1" t="s">
        <v>66</v>
      </c>
    </row>
    <row r="2" spans="1:29" ht="18" x14ac:dyDescent="0.35">
      <c r="A2" s="40" t="s">
        <v>116</v>
      </c>
      <c r="B2" s="40"/>
      <c r="R2" s="10">
        <v>1</v>
      </c>
      <c r="S2" s="10">
        <v>2</v>
      </c>
      <c r="T2" s="10">
        <v>3</v>
      </c>
      <c r="U2" s="10">
        <v>4</v>
      </c>
      <c r="V2" s="10">
        <v>5</v>
      </c>
      <c r="W2" s="10">
        <v>1</v>
      </c>
      <c r="X2" s="10">
        <v>2</v>
      </c>
      <c r="Y2" s="10">
        <v>3</v>
      </c>
      <c r="Z2" s="10">
        <v>4</v>
      </c>
      <c r="AA2" s="10">
        <v>5</v>
      </c>
    </row>
    <row r="3" spans="1:29" s="59" customFormat="1" ht="30.75" customHeight="1" x14ac:dyDescent="0.3">
      <c r="A3" s="58" t="s">
        <v>1</v>
      </c>
      <c r="B3" s="58"/>
    </row>
    <row r="4" spans="1:29" ht="24" outlineLevel="1" x14ac:dyDescent="0.3">
      <c r="A4" s="10" t="s">
        <v>114</v>
      </c>
      <c r="C4" s="11" t="s">
        <v>21</v>
      </c>
      <c r="D4" s="11" t="s">
        <v>151</v>
      </c>
      <c r="E4" s="11" t="s">
        <v>146</v>
      </c>
      <c r="F4" s="11" t="s">
        <v>111</v>
      </c>
      <c r="G4" s="11" t="s">
        <v>23</v>
      </c>
      <c r="H4" s="11" t="s">
        <v>25</v>
      </c>
      <c r="I4" s="11" t="s">
        <v>22</v>
      </c>
      <c r="J4" s="11" t="s">
        <v>16</v>
      </c>
      <c r="K4" s="11" t="s">
        <v>17</v>
      </c>
      <c r="O4" s="11" t="s">
        <v>120</v>
      </c>
      <c r="P4" s="11" t="s">
        <v>121</v>
      </c>
      <c r="Q4" s="11" t="s">
        <v>121</v>
      </c>
      <c r="R4" s="11" t="s">
        <v>121</v>
      </c>
    </row>
    <row r="5" spans="1:29" outlineLevel="1" x14ac:dyDescent="0.3">
      <c r="A5" s="39" t="s">
        <v>144</v>
      </c>
      <c r="C5" s="21">
        <v>600000</v>
      </c>
      <c r="D5" s="21">
        <v>6</v>
      </c>
      <c r="E5" s="21">
        <v>50000</v>
      </c>
      <c r="F5" s="22">
        <v>5000</v>
      </c>
      <c r="G5" s="17">
        <v>0.3</v>
      </c>
      <c r="H5" s="32">
        <v>190</v>
      </c>
      <c r="I5" s="23">
        <v>0.1</v>
      </c>
      <c r="J5" s="22">
        <v>4</v>
      </c>
      <c r="K5" s="49">
        <v>15</v>
      </c>
      <c r="O5" s="22" t="s">
        <v>31</v>
      </c>
      <c r="P5" s="49" t="s">
        <v>29</v>
      </c>
      <c r="Q5" s="49" t="s">
        <v>123</v>
      </c>
      <c r="R5" s="49" t="s">
        <v>124</v>
      </c>
    </row>
    <row r="6" spans="1:29" outlineLevel="1" x14ac:dyDescent="0.3">
      <c r="A6" t="s">
        <v>162</v>
      </c>
      <c r="C6" s="130" t="s">
        <v>161</v>
      </c>
    </row>
    <row r="7" spans="1:29" outlineLevel="1" x14ac:dyDescent="0.3"/>
    <row r="8" spans="1:29" ht="15" outlineLevel="1" thickBot="1" x14ac:dyDescent="0.35">
      <c r="A8" s="39" t="s">
        <v>138</v>
      </c>
      <c r="E8" s="70"/>
    </row>
    <row r="9" spans="1:29" ht="43.8" outlineLevel="1" thickBot="1" x14ac:dyDescent="0.35">
      <c r="C9" s="73" t="s">
        <v>147</v>
      </c>
      <c r="D9" s="73" t="s">
        <v>86</v>
      </c>
      <c r="E9" s="144" t="s">
        <v>85</v>
      </c>
      <c r="F9" s="148" t="s">
        <v>148</v>
      </c>
      <c r="G9" s="149" t="s">
        <v>149</v>
      </c>
      <c r="H9" s="149" t="s">
        <v>117</v>
      </c>
      <c r="I9" s="150" t="s">
        <v>118</v>
      </c>
      <c r="J9" s="10"/>
      <c r="K9" s="83" t="s">
        <v>122</v>
      </c>
      <c r="N9" s="10"/>
      <c r="O9" s="83" t="s">
        <v>18</v>
      </c>
      <c r="P9" s="83" t="s">
        <v>26</v>
      </c>
      <c r="Q9" s="83" t="s">
        <v>27</v>
      </c>
      <c r="R9" s="53">
        <v>1</v>
      </c>
      <c r="S9" s="54">
        <v>2</v>
      </c>
      <c r="T9" s="54">
        <v>3</v>
      </c>
      <c r="U9" s="54">
        <v>4</v>
      </c>
      <c r="V9" s="55">
        <v>5</v>
      </c>
      <c r="W9" s="53">
        <v>1</v>
      </c>
      <c r="X9" s="54">
        <v>2</v>
      </c>
      <c r="Y9" s="54">
        <v>3</v>
      </c>
      <c r="Z9" s="54">
        <v>4</v>
      </c>
      <c r="AA9" s="55">
        <v>5</v>
      </c>
      <c r="AB9" s="57" t="s">
        <v>20</v>
      </c>
      <c r="AC9" s="10"/>
    </row>
    <row r="10" spans="1:29" outlineLevel="1" x14ac:dyDescent="0.3">
      <c r="A10" s="14" t="s">
        <v>6</v>
      </c>
      <c r="C10" s="5">
        <f>sizing!D5</f>
        <v>40</v>
      </c>
      <c r="D10" t="s">
        <v>134</v>
      </c>
      <c r="E10" s="145">
        <f>sizing!F5</f>
        <v>40</v>
      </c>
      <c r="F10" s="151">
        <f>ROUNDUP(E10,0)</f>
        <v>40</v>
      </c>
      <c r="G10" s="75"/>
      <c r="H10" s="75"/>
      <c r="I10" s="152">
        <f>F10</f>
        <v>40</v>
      </c>
      <c r="J10" s="14" t="s">
        <v>6</v>
      </c>
      <c r="K10" s="97">
        <f>$E10/$E$15</f>
        <v>0.33333333333333331</v>
      </c>
      <c r="N10" s="14" t="s">
        <v>6</v>
      </c>
      <c r="O10" s="100">
        <f>K10*2</f>
        <v>0.66666666666666663</v>
      </c>
      <c r="P10" s="84">
        <f>Q10</f>
        <v>40</v>
      </c>
      <c r="Q10" s="84">
        <f>SUM(F10:G10)</f>
        <v>40</v>
      </c>
      <c r="R10" s="52">
        <f>$K10*($F$16+$G$16)*(1-$G$5)</f>
        <v>1540000</v>
      </c>
      <c r="S10" s="52"/>
      <c r="T10" s="52"/>
      <c r="U10" s="52"/>
      <c r="V10" s="52"/>
      <c r="W10" s="52">
        <f t="shared" ref="W10:AA14" si="0">IF(W$9&lt;$J$5,0,$R10*$I$5)</f>
        <v>0</v>
      </c>
      <c r="X10" s="52">
        <f t="shared" si="0"/>
        <v>0</v>
      </c>
      <c r="Y10" s="52">
        <f t="shared" si="0"/>
        <v>0</v>
      </c>
      <c r="Z10" s="52">
        <f t="shared" si="0"/>
        <v>154000</v>
      </c>
      <c r="AA10" s="52">
        <f t="shared" si="0"/>
        <v>154000</v>
      </c>
      <c r="AB10" s="56">
        <f>SUM(R10:AA10)</f>
        <v>1848000</v>
      </c>
      <c r="AC10" s="1" t="s">
        <v>6</v>
      </c>
    </row>
    <row r="11" spans="1:29" outlineLevel="1" x14ac:dyDescent="0.3">
      <c r="A11" s="14" t="s">
        <v>7</v>
      </c>
      <c r="D11" s="111">
        <f>sizing!H5</f>
        <v>0.5</v>
      </c>
      <c r="E11" s="145">
        <f>ROUNDUP($C$10*D11,0)</f>
        <v>20</v>
      </c>
      <c r="F11" s="151">
        <f>E11</f>
        <v>20</v>
      </c>
      <c r="G11" s="75">
        <f>E11-F11</f>
        <v>0</v>
      </c>
      <c r="H11" s="75"/>
      <c r="I11" s="152"/>
      <c r="J11" s="14" t="s">
        <v>7</v>
      </c>
      <c r="K11" s="97">
        <f>$E11/$E$15</f>
        <v>0.16666666666666666</v>
      </c>
      <c r="N11" s="14" t="s">
        <v>7</v>
      </c>
      <c r="O11" s="100">
        <f t="shared" ref="O11:O13" si="1">K11*2</f>
        <v>0.33333333333333331</v>
      </c>
      <c r="P11" s="84">
        <f>Q11</f>
        <v>20</v>
      </c>
      <c r="Q11" s="84">
        <f>SUM(F11:G11)</f>
        <v>20</v>
      </c>
      <c r="R11" s="52">
        <f>$K11*($F$16+$G$16)*(1-$G$5)</f>
        <v>770000</v>
      </c>
      <c r="S11" s="19"/>
      <c r="T11" s="19"/>
      <c r="U11" s="19"/>
      <c r="V11" s="19"/>
      <c r="W11" s="52">
        <f t="shared" si="0"/>
        <v>0</v>
      </c>
      <c r="X11" s="52">
        <f t="shared" si="0"/>
        <v>0</v>
      </c>
      <c r="Y11" s="52">
        <f t="shared" si="0"/>
        <v>0</v>
      </c>
      <c r="Z11" s="52">
        <f t="shared" si="0"/>
        <v>77000</v>
      </c>
      <c r="AA11" s="52">
        <f t="shared" si="0"/>
        <v>77000</v>
      </c>
      <c r="AB11" s="20">
        <f>SUM(R11:AA11)</f>
        <v>924000</v>
      </c>
      <c r="AC11" s="1" t="s">
        <v>7</v>
      </c>
    </row>
    <row r="12" spans="1:29" outlineLevel="1" x14ac:dyDescent="0.3">
      <c r="A12" s="14" t="s">
        <v>8</v>
      </c>
      <c r="D12" s="111">
        <f>sizing!J5</f>
        <v>0.5</v>
      </c>
      <c r="E12" s="145">
        <f>ROUNDUP($C$10*D12,0)</f>
        <v>20</v>
      </c>
      <c r="F12" s="151">
        <f>E12-G12</f>
        <v>0</v>
      </c>
      <c r="G12" s="75">
        <f>E12</f>
        <v>20</v>
      </c>
      <c r="H12" s="75"/>
      <c r="I12" s="152"/>
      <c r="J12" s="14" t="s">
        <v>8</v>
      </c>
      <c r="K12" s="97">
        <f>$E12/$E$15</f>
        <v>0.16666666666666666</v>
      </c>
      <c r="N12" s="14" t="s">
        <v>8</v>
      </c>
      <c r="O12" s="100">
        <f t="shared" si="1"/>
        <v>0.33333333333333331</v>
      </c>
      <c r="P12" s="84">
        <f>Q12</f>
        <v>20</v>
      </c>
      <c r="Q12" s="84">
        <f>SUM(F12:G12)</f>
        <v>20</v>
      </c>
      <c r="R12" s="52">
        <f>$K12*($F$16+$G$16)*(1-$G$5)</f>
        <v>770000</v>
      </c>
      <c r="S12" s="19"/>
      <c r="T12" s="19"/>
      <c r="U12" s="19"/>
      <c r="V12" s="19"/>
      <c r="W12" s="52">
        <f t="shared" si="0"/>
        <v>0</v>
      </c>
      <c r="X12" s="52">
        <f t="shared" si="0"/>
        <v>0</v>
      </c>
      <c r="Y12" s="52">
        <f t="shared" si="0"/>
        <v>0</v>
      </c>
      <c r="Z12" s="52">
        <f t="shared" si="0"/>
        <v>77000</v>
      </c>
      <c r="AA12" s="52">
        <f t="shared" si="0"/>
        <v>77000</v>
      </c>
      <c r="AB12" s="20">
        <f>SUM(R12:AA12)</f>
        <v>924000</v>
      </c>
      <c r="AC12" s="1" t="s">
        <v>8</v>
      </c>
    </row>
    <row r="13" spans="1:29" ht="15" outlineLevel="1" thickBot="1" x14ac:dyDescent="0.35">
      <c r="A13" s="14" t="s">
        <v>133</v>
      </c>
      <c r="D13" s="111">
        <f>sizing!L5</f>
        <v>1</v>
      </c>
      <c r="E13" s="145">
        <f>ROUNDUP($C$10*D13,0)</f>
        <v>40</v>
      </c>
      <c r="F13" s="153"/>
      <c r="G13" s="154">
        <f>C10</f>
        <v>40</v>
      </c>
      <c r="H13" s="154">
        <f>G13</f>
        <v>40</v>
      </c>
      <c r="I13" s="155"/>
      <c r="J13" s="14" t="s">
        <v>9</v>
      </c>
      <c r="K13" s="97">
        <f>$E13/$E$15</f>
        <v>0.33333333333333331</v>
      </c>
      <c r="N13" s="14" t="s">
        <v>9</v>
      </c>
      <c r="O13" s="100">
        <f t="shared" si="1"/>
        <v>0.66666666666666663</v>
      </c>
      <c r="P13" s="84">
        <f>Q13</f>
        <v>40</v>
      </c>
      <c r="Q13" s="84">
        <f>SUM(F13:G13)</f>
        <v>40</v>
      </c>
      <c r="R13" s="52">
        <f>$K13*($F$16+$G$16)*(1-$G$5)</f>
        <v>1540000</v>
      </c>
      <c r="S13" s="19"/>
      <c r="T13" s="19"/>
      <c r="U13" s="19"/>
      <c r="V13" s="19"/>
      <c r="W13" s="52">
        <f t="shared" si="0"/>
        <v>0</v>
      </c>
      <c r="X13" s="52">
        <f t="shared" si="0"/>
        <v>0</v>
      </c>
      <c r="Y13" s="52">
        <f t="shared" si="0"/>
        <v>0</v>
      </c>
      <c r="Z13" s="52">
        <f t="shared" si="0"/>
        <v>154000</v>
      </c>
      <c r="AA13" s="52">
        <f t="shared" si="0"/>
        <v>154000</v>
      </c>
      <c r="AB13" s="20">
        <f>SUM(R13:AA13)</f>
        <v>1848000</v>
      </c>
      <c r="AC13" s="1" t="s">
        <v>9</v>
      </c>
    </row>
    <row r="14" spans="1:29" outlineLevel="1" x14ac:dyDescent="0.3">
      <c r="A14" s="14" t="s">
        <v>10</v>
      </c>
      <c r="F14" s="146"/>
      <c r="G14" s="146"/>
      <c r="H14" s="147">
        <f>SUM(H10:H13)</f>
        <v>40</v>
      </c>
      <c r="I14" s="147">
        <f>SUM(I10:I13)</f>
        <v>40</v>
      </c>
      <c r="J14" s="14" t="s">
        <v>10</v>
      </c>
      <c r="K14" s="84"/>
      <c r="N14" s="14" t="s">
        <v>10</v>
      </c>
      <c r="O14" s="100"/>
      <c r="P14" s="84"/>
      <c r="Q14" s="84"/>
      <c r="R14" s="52">
        <f>($H$16+$I$16)*(1-$G$5)</f>
        <v>280000</v>
      </c>
      <c r="S14" s="19"/>
      <c r="T14" s="19"/>
      <c r="U14" s="19"/>
      <c r="V14" s="19"/>
      <c r="W14" s="52">
        <f t="shared" si="0"/>
        <v>0</v>
      </c>
      <c r="X14" s="52">
        <f t="shared" si="0"/>
        <v>0</v>
      </c>
      <c r="Y14" s="52">
        <f t="shared" si="0"/>
        <v>0</v>
      </c>
      <c r="Z14" s="52">
        <f t="shared" si="0"/>
        <v>28000</v>
      </c>
      <c r="AA14" s="52">
        <f t="shared" si="0"/>
        <v>28000</v>
      </c>
      <c r="AB14" s="20">
        <f>SUM(R14:AA14)</f>
        <v>336000</v>
      </c>
      <c r="AC14" s="1" t="s">
        <v>10</v>
      </c>
    </row>
    <row r="15" spans="1:29" outlineLevel="1" x14ac:dyDescent="0.3">
      <c r="A15" s="64" t="s">
        <v>20</v>
      </c>
      <c r="C15" s="39"/>
      <c r="E15" s="78">
        <f>SUM(E10:E14)</f>
        <v>120</v>
      </c>
      <c r="F15" s="78">
        <f>SUM(F10:F14)</f>
        <v>60</v>
      </c>
      <c r="G15" s="78">
        <f>SUM(G10:G14)</f>
        <v>60</v>
      </c>
      <c r="H15" s="78">
        <f>H14</f>
        <v>40</v>
      </c>
      <c r="I15" s="78">
        <f>I14</f>
        <v>40</v>
      </c>
      <c r="J15" s="5"/>
      <c r="K15" s="98">
        <f>SUM(K10:K14)</f>
        <v>1</v>
      </c>
      <c r="N15" s="5"/>
      <c r="O15" s="50">
        <f>SUM(O10:O14)</f>
        <v>2</v>
      </c>
      <c r="P15" s="50">
        <f>SUM(P10:P14)</f>
        <v>120</v>
      </c>
      <c r="Q15" s="50">
        <f>SUM(Q10:Q14)</f>
        <v>120</v>
      </c>
      <c r="R15" s="71">
        <f t="shared" ref="R15:AB15" si="2">SUM(R10:R14)</f>
        <v>4900000</v>
      </c>
      <c r="S15" s="71">
        <f t="shared" si="2"/>
        <v>0</v>
      </c>
      <c r="T15" s="71">
        <f t="shared" si="2"/>
        <v>0</v>
      </c>
      <c r="U15" s="71">
        <f t="shared" si="2"/>
        <v>0</v>
      </c>
      <c r="V15" s="71">
        <f t="shared" si="2"/>
        <v>0</v>
      </c>
      <c r="W15" s="71">
        <f t="shared" si="2"/>
        <v>0</v>
      </c>
      <c r="X15" s="71">
        <f t="shared" si="2"/>
        <v>0</v>
      </c>
      <c r="Y15" s="71">
        <f t="shared" si="2"/>
        <v>0</v>
      </c>
      <c r="Z15" s="71">
        <f t="shared" si="2"/>
        <v>490000</v>
      </c>
      <c r="AA15" s="71">
        <f t="shared" si="2"/>
        <v>490000</v>
      </c>
      <c r="AB15" s="71">
        <f t="shared" si="2"/>
        <v>5880000</v>
      </c>
      <c r="AC15" s="5" t="s">
        <v>20</v>
      </c>
    </row>
    <row r="16" spans="1:29" ht="28.8" outlineLevel="1" x14ac:dyDescent="0.3">
      <c r="E16" s="143" t="s">
        <v>119</v>
      </c>
      <c r="F16" s="99">
        <f>IF($D$5&lt;F15,((F15-$D$5)*$E$5+$C$5),$C$5)</f>
        <v>3300000</v>
      </c>
      <c r="G16" s="99">
        <f>IF($D$5&lt;G15,((G15-$D$5)*$E$5+$C$5),$C$5)</f>
        <v>3300000</v>
      </c>
      <c r="H16" s="99">
        <f>($H$15*$F$5)</f>
        <v>200000</v>
      </c>
      <c r="I16" s="99">
        <f>($I$15*$F$5)</f>
        <v>200000</v>
      </c>
      <c r="O16" s="18" t="s">
        <v>18</v>
      </c>
      <c r="P16" s="18" t="s">
        <v>26</v>
      </c>
      <c r="Q16" s="18" t="s">
        <v>27</v>
      </c>
    </row>
    <row r="17" spans="1:29" outlineLevel="1" x14ac:dyDescent="0.3"/>
    <row r="18" spans="1:29" outlineLevel="1" x14ac:dyDescent="0.3">
      <c r="F18" s="70"/>
      <c r="G18" s="70"/>
    </row>
    <row r="19" spans="1:29" outlineLevel="1" x14ac:dyDescent="0.3"/>
    <row r="20" spans="1:29" outlineLevel="1" x14ac:dyDescent="0.3"/>
    <row r="22" spans="1:29" s="60" customFormat="1" ht="28.5" customHeight="1" thickBot="1" x14ac:dyDescent="0.35">
      <c r="A22" s="58" t="s">
        <v>32</v>
      </c>
      <c r="B22" s="58"/>
      <c r="R22" s="59"/>
      <c r="S22" s="59"/>
      <c r="T22" s="59"/>
      <c r="U22" s="59"/>
      <c r="V22" s="59"/>
      <c r="W22" s="59"/>
      <c r="X22" s="59"/>
      <c r="Y22" s="59"/>
      <c r="Z22" s="59"/>
      <c r="AA22" s="59"/>
      <c r="AB22" s="59"/>
      <c r="AC22" s="59"/>
    </row>
    <row r="23" spans="1:29" ht="36.75" customHeight="1" outlineLevel="1" thickBot="1" x14ac:dyDescent="0.35">
      <c r="A23" s="48" t="s">
        <v>69</v>
      </c>
      <c r="C23" s="11" t="s">
        <v>63</v>
      </c>
      <c r="D23" s="11" t="s">
        <v>125</v>
      </c>
      <c r="E23" s="11" t="s">
        <v>62</v>
      </c>
      <c r="F23" s="11" t="s">
        <v>23</v>
      </c>
      <c r="G23" s="11" t="s">
        <v>64</v>
      </c>
      <c r="H23" s="11" t="s">
        <v>93</v>
      </c>
      <c r="I23" s="83" t="s">
        <v>94</v>
      </c>
      <c r="J23" s="83" t="s">
        <v>35</v>
      </c>
      <c r="K23" s="83" t="s">
        <v>33</v>
      </c>
      <c r="L23" s="83" t="s">
        <v>34</v>
      </c>
      <c r="O23" s="5" t="s">
        <v>96</v>
      </c>
      <c r="P23" s="11" t="s">
        <v>64</v>
      </c>
      <c r="Q23" s="10" t="s">
        <v>65</v>
      </c>
      <c r="R23" s="53">
        <v>1</v>
      </c>
      <c r="S23" s="54">
        <v>2</v>
      </c>
      <c r="T23" s="54">
        <v>3</v>
      </c>
      <c r="U23" s="54">
        <v>4</v>
      </c>
      <c r="V23" s="55">
        <v>5</v>
      </c>
      <c r="W23" s="53">
        <v>1</v>
      </c>
      <c r="X23" s="54">
        <v>2</v>
      </c>
      <c r="Y23" s="54">
        <v>3</v>
      </c>
      <c r="Z23" s="54">
        <v>4</v>
      </c>
      <c r="AA23" s="55">
        <v>5</v>
      </c>
      <c r="AB23" s="57" t="s">
        <v>20</v>
      </c>
      <c r="AC23" s="10"/>
    </row>
    <row r="24" spans="1:29" outlineLevel="2" x14ac:dyDescent="0.3">
      <c r="A24" s="12" t="s">
        <v>31</v>
      </c>
      <c r="B24" s="12"/>
      <c r="C24" s="26"/>
      <c r="D24" s="26">
        <v>6000</v>
      </c>
      <c r="E24" s="16">
        <v>1</v>
      </c>
      <c r="F24" s="17">
        <v>0.2</v>
      </c>
      <c r="G24" s="85" t="s">
        <v>34</v>
      </c>
      <c r="H24" s="85" t="s">
        <v>34</v>
      </c>
      <c r="I24" s="85">
        <v>1</v>
      </c>
      <c r="J24" s="36">
        <f>$O$10</f>
        <v>0.66666666666666663</v>
      </c>
      <c r="K24" s="36">
        <f>$P$10</f>
        <v>40</v>
      </c>
      <c r="L24" s="36">
        <f>$Q$10</f>
        <v>40</v>
      </c>
      <c r="O24">
        <f>_xlfn.XLOOKUP($H24,$J$23:$L$23,$J24:$L24)</f>
        <v>40</v>
      </c>
      <c r="P24" s="10" t="s">
        <v>33</v>
      </c>
      <c r="Q24" s="86">
        <f>I24*O24</f>
        <v>40</v>
      </c>
      <c r="R24" s="19">
        <f t="shared" ref="R24:R30" si="3">$Q24*$C24*(1-$F24)</f>
        <v>0</v>
      </c>
      <c r="S24" s="19"/>
      <c r="T24" s="19"/>
      <c r="U24" s="19"/>
      <c r="V24" s="19"/>
      <c r="W24" s="19">
        <f t="shared" ref="W24:AA30" si="4">IF(W$9&lt;$E24,0,$Q24*$D24)*(1-$F24)</f>
        <v>192000</v>
      </c>
      <c r="X24" s="19">
        <f t="shared" si="4"/>
        <v>192000</v>
      </c>
      <c r="Y24" s="19">
        <f t="shared" si="4"/>
        <v>192000</v>
      </c>
      <c r="Z24" s="19">
        <f t="shared" si="4"/>
        <v>192000</v>
      </c>
      <c r="AA24" s="19">
        <f t="shared" si="4"/>
        <v>192000</v>
      </c>
      <c r="AB24" s="20">
        <f>SUM(R24:AA24)</f>
        <v>960000</v>
      </c>
    </row>
    <row r="25" spans="1:29" outlineLevel="2" x14ac:dyDescent="0.3">
      <c r="A25" s="12" t="s">
        <v>29</v>
      </c>
      <c r="B25" s="12"/>
      <c r="C25" s="26"/>
      <c r="D25" s="27"/>
      <c r="E25" s="16">
        <v>2</v>
      </c>
      <c r="F25" s="17">
        <v>0.2</v>
      </c>
      <c r="G25" s="85" t="s">
        <v>34</v>
      </c>
      <c r="H25" s="85" t="s">
        <v>34</v>
      </c>
      <c r="I25" s="85">
        <v>1</v>
      </c>
      <c r="J25" s="1">
        <f>J24</f>
        <v>0.66666666666666663</v>
      </c>
      <c r="K25" s="1">
        <f t="shared" ref="K25:L30" si="5">K24</f>
        <v>40</v>
      </c>
      <c r="L25" s="1">
        <f t="shared" si="5"/>
        <v>40</v>
      </c>
      <c r="O25">
        <f t="shared" ref="O25:O30" si="6">_xlfn.XLOOKUP($H25,$J$23:$L$23,$J25:$L25)</f>
        <v>40</v>
      </c>
      <c r="P25" s="10" t="s">
        <v>33</v>
      </c>
      <c r="Q25" s="86">
        <f t="shared" ref="Q25:Q30" si="7">I25*O25</f>
        <v>40</v>
      </c>
      <c r="R25" s="19">
        <f t="shared" si="3"/>
        <v>0</v>
      </c>
      <c r="S25" s="19"/>
      <c r="T25" s="19"/>
      <c r="U25" s="19"/>
      <c r="V25" s="19"/>
      <c r="W25" s="19">
        <f t="shared" si="4"/>
        <v>0</v>
      </c>
      <c r="X25" s="19">
        <f t="shared" si="4"/>
        <v>0</v>
      </c>
      <c r="Y25" s="19">
        <f t="shared" si="4"/>
        <v>0</v>
      </c>
      <c r="Z25" s="19">
        <f t="shared" si="4"/>
        <v>0</v>
      </c>
      <c r="AA25" s="19">
        <f t="shared" si="4"/>
        <v>0</v>
      </c>
      <c r="AB25" s="20">
        <f t="shared" ref="AB25:AB26" si="8">SUM(R25:AA25)</f>
        <v>0</v>
      </c>
    </row>
    <row r="26" spans="1:29" outlineLevel="2" x14ac:dyDescent="0.3">
      <c r="A26" s="12" t="s">
        <v>30</v>
      </c>
      <c r="B26" s="12"/>
      <c r="C26" s="26">
        <f>Data!B12</f>
        <v>46.82</v>
      </c>
      <c r="D26" s="27">
        <f>Data!C12</f>
        <v>9.36</v>
      </c>
      <c r="E26" s="16">
        <f>Data!D12</f>
        <v>2</v>
      </c>
      <c r="F26" s="138">
        <v>0.5</v>
      </c>
      <c r="G26" s="85" t="str">
        <f>Data!E12</f>
        <v>PVU</v>
      </c>
      <c r="H26" s="85" t="str">
        <f>Data!F12</f>
        <v>core</v>
      </c>
      <c r="I26" s="129">
        <v>120</v>
      </c>
      <c r="J26" s="1">
        <f t="shared" ref="J26:J30" si="9">J25</f>
        <v>0.66666666666666663</v>
      </c>
      <c r="K26" s="1">
        <f t="shared" si="5"/>
        <v>40</v>
      </c>
      <c r="L26" s="1">
        <f t="shared" si="5"/>
        <v>40</v>
      </c>
      <c r="O26">
        <f t="shared" si="6"/>
        <v>40</v>
      </c>
      <c r="P26" s="10" t="s">
        <v>95</v>
      </c>
      <c r="Q26" s="86">
        <f t="shared" si="7"/>
        <v>4800</v>
      </c>
      <c r="R26" s="19">
        <f t="shared" si="3"/>
        <v>112368</v>
      </c>
      <c r="S26" s="19"/>
      <c r="T26" s="19"/>
      <c r="U26" s="19"/>
      <c r="V26" s="19"/>
      <c r="W26" s="19">
        <f t="shared" si="4"/>
        <v>0</v>
      </c>
      <c r="X26" s="19">
        <f t="shared" si="4"/>
        <v>22464</v>
      </c>
      <c r="Y26" s="19">
        <f t="shared" si="4"/>
        <v>22464</v>
      </c>
      <c r="Z26" s="19">
        <f t="shared" si="4"/>
        <v>22464</v>
      </c>
      <c r="AA26" s="19">
        <f t="shared" si="4"/>
        <v>22464</v>
      </c>
      <c r="AB26" s="20">
        <f t="shared" si="8"/>
        <v>202224</v>
      </c>
    </row>
    <row r="27" spans="1:29" outlineLevel="2" x14ac:dyDescent="0.3">
      <c r="A27" s="12" t="s">
        <v>28</v>
      </c>
      <c r="B27" s="12"/>
      <c r="C27" s="26">
        <f>Data!B25</f>
        <v>0</v>
      </c>
      <c r="D27" s="27">
        <f>Data!C25</f>
        <v>8500</v>
      </c>
      <c r="E27" s="16">
        <f>Data!D25</f>
        <v>1</v>
      </c>
      <c r="F27" s="138">
        <v>0</v>
      </c>
      <c r="G27" s="85" t="str">
        <f>Data!E25</f>
        <v>server</v>
      </c>
      <c r="H27" s="85" t="str">
        <f>Data!F25</f>
        <v>server</v>
      </c>
      <c r="I27" s="129">
        <v>1</v>
      </c>
      <c r="J27" s="1">
        <f t="shared" si="9"/>
        <v>0.66666666666666663</v>
      </c>
      <c r="K27" s="1">
        <f t="shared" si="5"/>
        <v>40</v>
      </c>
      <c r="L27" s="1">
        <f t="shared" si="5"/>
        <v>40</v>
      </c>
      <c r="O27">
        <f t="shared" si="6"/>
        <v>0.66666666666666663</v>
      </c>
      <c r="P27" s="10" t="s">
        <v>34</v>
      </c>
      <c r="Q27" s="86">
        <f t="shared" si="7"/>
        <v>0.66666666666666663</v>
      </c>
      <c r="R27" s="19">
        <f t="shared" si="3"/>
        <v>0</v>
      </c>
      <c r="S27" s="19"/>
      <c r="T27" s="19"/>
      <c r="U27" s="19"/>
      <c r="V27" s="19"/>
      <c r="W27" s="19">
        <f t="shared" si="4"/>
        <v>5666.6666666666661</v>
      </c>
      <c r="X27" s="19">
        <f t="shared" si="4"/>
        <v>5666.6666666666661</v>
      </c>
      <c r="Y27" s="19">
        <f t="shared" si="4"/>
        <v>5666.6666666666661</v>
      </c>
      <c r="Z27" s="19">
        <f t="shared" si="4"/>
        <v>5666.6666666666661</v>
      </c>
      <c r="AA27" s="19">
        <f t="shared" si="4"/>
        <v>5666.6666666666661</v>
      </c>
      <c r="AB27" s="20">
        <f>SUM(R27:AA27)</f>
        <v>28333.333333333328</v>
      </c>
    </row>
    <row r="28" spans="1:29" outlineLevel="2" x14ac:dyDescent="0.3">
      <c r="A28" s="12" t="s">
        <v>110</v>
      </c>
      <c r="B28" s="12"/>
      <c r="C28" s="26"/>
      <c r="D28" s="26">
        <v>3000</v>
      </c>
      <c r="E28" s="16">
        <v>1</v>
      </c>
      <c r="F28" s="138">
        <v>0.5</v>
      </c>
      <c r="G28" s="85" t="s">
        <v>34</v>
      </c>
      <c r="H28" s="85" t="s">
        <v>34</v>
      </c>
      <c r="I28" s="129">
        <v>1</v>
      </c>
      <c r="J28" s="1">
        <f t="shared" si="9"/>
        <v>0.66666666666666663</v>
      </c>
      <c r="K28" s="1">
        <f t="shared" si="5"/>
        <v>40</v>
      </c>
      <c r="L28" s="1">
        <f t="shared" si="5"/>
        <v>40</v>
      </c>
      <c r="O28">
        <f t="shared" si="6"/>
        <v>40</v>
      </c>
      <c r="P28" s="10" t="s">
        <v>34</v>
      </c>
      <c r="Q28" s="86">
        <f t="shared" si="7"/>
        <v>40</v>
      </c>
      <c r="R28" s="19">
        <f t="shared" si="3"/>
        <v>0</v>
      </c>
      <c r="S28" s="19"/>
      <c r="T28" s="19"/>
      <c r="U28" s="19"/>
      <c r="V28" s="19"/>
      <c r="W28" s="19">
        <f t="shared" si="4"/>
        <v>60000</v>
      </c>
      <c r="X28" s="19">
        <f t="shared" si="4"/>
        <v>60000</v>
      </c>
      <c r="Y28" s="19">
        <f t="shared" si="4"/>
        <v>60000</v>
      </c>
      <c r="Z28" s="19">
        <f t="shared" si="4"/>
        <v>60000</v>
      </c>
      <c r="AA28" s="19">
        <f t="shared" si="4"/>
        <v>60000</v>
      </c>
      <c r="AB28" s="20">
        <f>SUM(R28:AA28)</f>
        <v>300000</v>
      </c>
    </row>
    <row r="29" spans="1:29" outlineLevel="2" x14ac:dyDescent="0.3">
      <c r="A29" s="12" t="s">
        <v>126</v>
      </c>
      <c r="B29" s="12"/>
      <c r="C29" s="26">
        <v>5000</v>
      </c>
      <c r="D29" s="27">
        <f>C29*0.2</f>
        <v>1000</v>
      </c>
      <c r="E29" s="16">
        <v>2</v>
      </c>
      <c r="F29" s="17">
        <v>0.4</v>
      </c>
      <c r="G29" s="85" t="s">
        <v>35</v>
      </c>
      <c r="H29" s="85" t="s">
        <v>35</v>
      </c>
      <c r="I29" s="85">
        <v>1</v>
      </c>
      <c r="J29" s="1">
        <f t="shared" si="9"/>
        <v>0.66666666666666663</v>
      </c>
      <c r="K29" s="1">
        <f t="shared" si="5"/>
        <v>40</v>
      </c>
      <c r="L29" s="1">
        <f t="shared" si="5"/>
        <v>40</v>
      </c>
      <c r="O29">
        <f t="shared" si="6"/>
        <v>0.66666666666666663</v>
      </c>
      <c r="P29" s="10" t="s">
        <v>35</v>
      </c>
      <c r="Q29" s="86">
        <f t="shared" si="7"/>
        <v>0.66666666666666663</v>
      </c>
      <c r="R29" s="19">
        <f t="shared" si="3"/>
        <v>1999.9999999999998</v>
      </c>
      <c r="S29" s="19"/>
      <c r="T29" s="19"/>
      <c r="U29" s="19"/>
      <c r="V29" s="19"/>
      <c r="W29" s="19">
        <f t="shared" si="4"/>
        <v>0</v>
      </c>
      <c r="X29" s="19">
        <f t="shared" si="4"/>
        <v>399.99999999999994</v>
      </c>
      <c r="Y29" s="19">
        <f t="shared" si="4"/>
        <v>399.99999999999994</v>
      </c>
      <c r="Z29" s="19">
        <f t="shared" si="4"/>
        <v>399.99999999999994</v>
      </c>
      <c r="AA29" s="19">
        <f t="shared" si="4"/>
        <v>399.99999999999994</v>
      </c>
      <c r="AB29" s="20">
        <f t="shared" ref="AB29:AB30" si="10">SUM(R29:AA29)</f>
        <v>3599.9999999999995</v>
      </c>
    </row>
    <row r="30" spans="1:29" outlineLevel="2" x14ac:dyDescent="0.3">
      <c r="A30" s="12" t="s">
        <v>127</v>
      </c>
      <c r="B30" s="12"/>
      <c r="C30" s="26">
        <v>5000</v>
      </c>
      <c r="D30" s="27">
        <f>C30*0.2</f>
        <v>1000</v>
      </c>
      <c r="E30" s="16">
        <v>2</v>
      </c>
      <c r="F30" s="17">
        <v>0.4</v>
      </c>
      <c r="G30" s="85" t="s">
        <v>35</v>
      </c>
      <c r="H30" s="85" t="s">
        <v>35</v>
      </c>
      <c r="I30" s="85">
        <v>1</v>
      </c>
      <c r="J30" s="1">
        <f t="shared" si="9"/>
        <v>0.66666666666666663</v>
      </c>
      <c r="K30" s="1">
        <f t="shared" si="5"/>
        <v>40</v>
      </c>
      <c r="L30" s="1">
        <f t="shared" si="5"/>
        <v>40</v>
      </c>
      <c r="O30">
        <f t="shared" si="6"/>
        <v>0.66666666666666663</v>
      </c>
      <c r="P30" s="10" t="s">
        <v>35</v>
      </c>
      <c r="Q30" s="86">
        <f t="shared" si="7"/>
        <v>0.66666666666666663</v>
      </c>
      <c r="R30" s="19">
        <f t="shared" si="3"/>
        <v>1999.9999999999998</v>
      </c>
      <c r="S30" s="19"/>
      <c r="T30" s="19"/>
      <c r="U30" s="19"/>
      <c r="V30" s="19"/>
      <c r="W30" s="19">
        <f t="shared" si="4"/>
        <v>0</v>
      </c>
      <c r="X30" s="19">
        <f t="shared" si="4"/>
        <v>399.99999999999994</v>
      </c>
      <c r="Y30" s="19">
        <f t="shared" si="4"/>
        <v>399.99999999999994</v>
      </c>
      <c r="Z30" s="19">
        <f t="shared" si="4"/>
        <v>399.99999999999994</v>
      </c>
      <c r="AA30" s="19">
        <f t="shared" si="4"/>
        <v>399.99999999999994</v>
      </c>
      <c r="AB30" s="20">
        <f t="shared" si="10"/>
        <v>3599.9999999999995</v>
      </c>
    </row>
    <row r="31" spans="1:29" s="39" customFormat="1" outlineLevel="1" x14ac:dyDescent="0.3">
      <c r="Q31" s="64" t="s">
        <v>97</v>
      </c>
      <c r="R31" s="61">
        <f>SUM(R24:R30)</f>
        <v>116368</v>
      </c>
      <c r="S31" s="61">
        <f t="shared" ref="S31:AB31" si="11">SUM(S24:S30)</f>
        <v>0</v>
      </c>
      <c r="T31" s="61">
        <f t="shared" si="11"/>
        <v>0</v>
      </c>
      <c r="U31" s="61">
        <f t="shared" si="11"/>
        <v>0</v>
      </c>
      <c r="V31" s="61">
        <f t="shared" si="11"/>
        <v>0</v>
      </c>
      <c r="W31" s="61">
        <f t="shared" si="11"/>
        <v>257666.66666666666</v>
      </c>
      <c r="X31" s="61">
        <f t="shared" si="11"/>
        <v>280930.66666666663</v>
      </c>
      <c r="Y31" s="61">
        <f t="shared" si="11"/>
        <v>280930.66666666663</v>
      </c>
      <c r="Z31" s="61">
        <f t="shared" si="11"/>
        <v>280930.66666666663</v>
      </c>
      <c r="AA31" s="61">
        <f t="shared" si="11"/>
        <v>280930.66666666663</v>
      </c>
      <c r="AB31" s="62">
        <f t="shared" si="11"/>
        <v>1497757.3333333333</v>
      </c>
    </row>
    <row r="32" spans="1:29" ht="15" outlineLevel="1" thickBot="1" x14ac:dyDescent="0.35"/>
    <row r="33" spans="1:29" ht="39" customHeight="1" outlineLevel="1" thickBot="1" x14ac:dyDescent="0.35">
      <c r="A33" s="48" t="s">
        <v>7</v>
      </c>
      <c r="C33" s="11" t="str">
        <f>C23</f>
        <v>Acquisition/ Capital Cost</v>
      </c>
      <c r="D33" s="11" t="str">
        <f>D23</f>
        <v>Maintenance/ Subscription</v>
      </c>
      <c r="E33" s="11" t="s">
        <v>62</v>
      </c>
      <c r="F33" s="11" t="s">
        <v>23</v>
      </c>
      <c r="G33" s="11" t="s">
        <v>64</v>
      </c>
      <c r="H33" s="11" t="s">
        <v>93</v>
      </c>
      <c r="I33" s="83" t="s">
        <v>94</v>
      </c>
      <c r="J33" s="83" t="s">
        <v>35</v>
      </c>
      <c r="K33" s="83" t="s">
        <v>33</v>
      </c>
      <c r="L33" s="83" t="s">
        <v>34</v>
      </c>
      <c r="O33" s="5" t="s">
        <v>96</v>
      </c>
      <c r="P33" s="11" t="s">
        <v>64</v>
      </c>
      <c r="Q33" s="10" t="s">
        <v>65</v>
      </c>
      <c r="R33" s="53">
        <v>1</v>
      </c>
      <c r="S33" s="54">
        <v>2</v>
      </c>
      <c r="T33" s="54">
        <v>3</v>
      </c>
      <c r="U33" s="54">
        <v>4</v>
      </c>
      <c r="V33" s="55">
        <v>5</v>
      </c>
      <c r="W33" s="53">
        <v>1</v>
      </c>
      <c r="X33" s="54">
        <v>2</v>
      </c>
      <c r="Y33" s="54">
        <v>3</v>
      </c>
      <c r="Z33" s="54">
        <v>4</v>
      </c>
      <c r="AA33" s="55">
        <v>5</v>
      </c>
      <c r="AB33" s="57" t="s">
        <v>20</v>
      </c>
      <c r="AC33" s="10"/>
    </row>
    <row r="34" spans="1:29" outlineLevel="2" x14ac:dyDescent="0.3">
      <c r="A34" s="24" t="str">
        <f t="shared" ref="A34:A40" si="12">A24</f>
        <v>OS</v>
      </c>
      <c r="B34" s="24"/>
      <c r="C34" s="27">
        <f t="shared" ref="C34:I34" si="13">C24</f>
        <v>0</v>
      </c>
      <c r="D34" s="27">
        <f t="shared" si="13"/>
        <v>6000</v>
      </c>
      <c r="E34" s="28">
        <f t="shared" si="13"/>
        <v>1</v>
      </c>
      <c r="F34" s="29">
        <f t="shared" si="13"/>
        <v>0.2</v>
      </c>
      <c r="G34" s="87" t="str">
        <f t="shared" si="13"/>
        <v>core</v>
      </c>
      <c r="H34" s="87" t="str">
        <f t="shared" si="13"/>
        <v>core</v>
      </c>
      <c r="I34" s="87">
        <f t="shared" si="13"/>
        <v>1</v>
      </c>
      <c r="J34" s="36">
        <f>$O$11</f>
        <v>0.33333333333333331</v>
      </c>
      <c r="K34" s="36">
        <f>$P$11</f>
        <v>20</v>
      </c>
      <c r="L34" s="36">
        <f>$Q$11</f>
        <v>20</v>
      </c>
      <c r="O34">
        <f>_xlfn.XLOOKUP($H34,$J$23:$L$23,$J34:$L34)</f>
        <v>20</v>
      </c>
      <c r="P34" s="10" t="s">
        <v>33</v>
      </c>
      <c r="Q34" s="86">
        <f>I34*O34</f>
        <v>20</v>
      </c>
      <c r="R34" s="19">
        <f t="shared" ref="R34:R40" si="14">$Q34*$C34*(1-$F34)</f>
        <v>0</v>
      </c>
      <c r="S34" s="19"/>
      <c r="T34" s="19"/>
      <c r="U34" s="19"/>
      <c r="V34" s="19"/>
      <c r="W34" s="19">
        <f t="shared" ref="W34:AA40" si="15">IF(W$9&lt;$E34,0,$Q34*$D34)*(1-$F34)</f>
        <v>96000</v>
      </c>
      <c r="X34" s="19">
        <f t="shared" si="15"/>
        <v>96000</v>
      </c>
      <c r="Y34" s="19">
        <f t="shared" si="15"/>
        <v>96000</v>
      </c>
      <c r="Z34" s="19">
        <f t="shared" si="15"/>
        <v>96000</v>
      </c>
      <c r="AA34" s="19">
        <f t="shared" si="15"/>
        <v>96000</v>
      </c>
      <c r="AB34" s="20">
        <f>SUM(R34:AA34)</f>
        <v>480000</v>
      </c>
    </row>
    <row r="35" spans="1:29" outlineLevel="2" x14ac:dyDescent="0.3">
      <c r="A35" s="24" t="str">
        <f t="shared" si="12"/>
        <v>VM</v>
      </c>
      <c r="B35" s="24"/>
      <c r="C35" s="27">
        <f t="shared" ref="C35:F40" si="16">C25</f>
        <v>0</v>
      </c>
      <c r="D35" s="27">
        <f t="shared" si="16"/>
        <v>0</v>
      </c>
      <c r="E35" s="28">
        <f t="shared" si="16"/>
        <v>2</v>
      </c>
      <c r="F35" s="29">
        <f t="shared" si="16"/>
        <v>0.2</v>
      </c>
      <c r="G35" s="87" t="str">
        <f t="shared" ref="G35:I35" si="17">G25</f>
        <v>core</v>
      </c>
      <c r="H35" s="87" t="str">
        <f t="shared" si="17"/>
        <v>core</v>
      </c>
      <c r="I35" s="87">
        <f t="shared" si="17"/>
        <v>1</v>
      </c>
      <c r="J35" s="1">
        <f>J34</f>
        <v>0.33333333333333331</v>
      </c>
      <c r="K35" s="1">
        <f t="shared" ref="K35:L40" si="18">K34</f>
        <v>20</v>
      </c>
      <c r="L35" s="1">
        <f t="shared" si="18"/>
        <v>20</v>
      </c>
      <c r="O35">
        <f t="shared" ref="O35:O40" si="19">_xlfn.XLOOKUP($H35,$J$23:$L$23,$J35:$L35)</f>
        <v>20</v>
      </c>
      <c r="P35" s="10" t="s">
        <v>33</v>
      </c>
      <c r="Q35" s="86">
        <f t="shared" ref="Q35:Q40" si="20">I35*O35</f>
        <v>20</v>
      </c>
      <c r="R35" s="19">
        <f t="shared" si="14"/>
        <v>0</v>
      </c>
      <c r="S35" s="19"/>
      <c r="T35" s="19"/>
      <c r="U35" s="19"/>
      <c r="V35" s="19"/>
      <c r="W35" s="19">
        <f t="shared" si="15"/>
        <v>0</v>
      </c>
      <c r="X35" s="19">
        <f t="shared" si="15"/>
        <v>0</v>
      </c>
      <c r="Y35" s="19">
        <f t="shared" si="15"/>
        <v>0</v>
      </c>
      <c r="Z35" s="19">
        <f t="shared" si="15"/>
        <v>0</v>
      </c>
      <c r="AA35" s="19">
        <f t="shared" si="15"/>
        <v>0</v>
      </c>
      <c r="AB35" s="20">
        <f t="shared" ref="AB35:AB36" si="21">SUM(R35:AA35)</f>
        <v>0</v>
      </c>
    </row>
    <row r="36" spans="1:29" outlineLevel="2" x14ac:dyDescent="0.3">
      <c r="A36" s="24" t="str">
        <f t="shared" si="12"/>
        <v>Application Server</v>
      </c>
      <c r="B36" s="24"/>
      <c r="C36" s="27">
        <f t="shared" si="16"/>
        <v>46.82</v>
      </c>
      <c r="D36" s="27">
        <f t="shared" si="16"/>
        <v>9.36</v>
      </c>
      <c r="E36" s="28">
        <f t="shared" si="16"/>
        <v>2</v>
      </c>
      <c r="F36" s="29">
        <f t="shared" si="16"/>
        <v>0.5</v>
      </c>
      <c r="G36" s="87" t="str">
        <f t="shared" ref="G36:I36" si="22">G26</f>
        <v>PVU</v>
      </c>
      <c r="H36" s="87" t="str">
        <f t="shared" si="22"/>
        <v>core</v>
      </c>
      <c r="I36" s="87">
        <f t="shared" si="22"/>
        <v>120</v>
      </c>
      <c r="J36" s="1">
        <f t="shared" ref="J36:J40" si="23">J35</f>
        <v>0.33333333333333331</v>
      </c>
      <c r="K36" s="1">
        <f t="shared" si="18"/>
        <v>20</v>
      </c>
      <c r="L36" s="1">
        <f t="shared" si="18"/>
        <v>20</v>
      </c>
      <c r="O36">
        <f t="shared" si="19"/>
        <v>20</v>
      </c>
      <c r="P36" s="10" t="s">
        <v>95</v>
      </c>
      <c r="Q36" s="86">
        <f t="shared" si="20"/>
        <v>2400</v>
      </c>
      <c r="R36" s="19">
        <f t="shared" si="14"/>
        <v>56184</v>
      </c>
      <c r="S36" s="19"/>
      <c r="T36" s="19"/>
      <c r="U36" s="19"/>
      <c r="V36" s="19"/>
      <c r="W36" s="19">
        <f t="shared" si="15"/>
        <v>0</v>
      </c>
      <c r="X36" s="19">
        <f t="shared" si="15"/>
        <v>11232</v>
      </c>
      <c r="Y36" s="19">
        <f t="shared" si="15"/>
        <v>11232</v>
      </c>
      <c r="Z36" s="19">
        <f t="shared" si="15"/>
        <v>11232</v>
      </c>
      <c r="AA36" s="19">
        <f t="shared" si="15"/>
        <v>11232</v>
      </c>
      <c r="AB36" s="20">
        <f t="shared" si="21"/>
        <v>101112</v>
      </c>
    </row>
    <row r="37" spans="1:29" outlineLevel="2" x14ac:dyDescent="0.3">
      <c r="A37" s="24" t="str">
        <f t="shared" si="12"/>
        <v>DB</v>
      </c>
      <c r="B37" s="24"/>
      <c r="C37" s="27">
        <f t="shared" si="16"/>
        <v>0</v>
      </c>
      <c r="D37" s="27">
        <f t="shared" si="16"/>
        <v>8500</v>
      </c>
      <c r="E37" s="28">
        <f t="shared" si="16"/>
        <v>1</v>
      </c>
      <c r="F37" s="29">
        <f t="shared" si="16"/>
        <v>0</v>
      </c>
      <c r="G37" s="87" t="str">
        <f t="shared" ref="G37:I37" si="24">G27</f>
        <v>server</v>
      </c>
      <c r="H37" s="87" t="str">
        <f t="shared" si="24"/>
        <v>server</v>
      </c>
      <c r="I37" s="87">
        <f t="shared" si="24"/>
        <v>1</v>
      </c>
      <c r="J37" s="1">
        <f t="shared" si="23"/>
        <v>0.33333333333333331</v>
      </c>
      <c r="K37" s="1">
        <f t="shared" si="18"/>
        <v>20</v>
      </c>
      <c r="L37" s="1">
        <f t="shared" si="18"/>
        <v>20</v>
      </c>
      <c r="O37">
        <f t="shared" si="19"/>
        <v>0.33333333333333331</v>
      </c>
      <c r="P37" s="10" t="s">
        <v>34</v>
      </c>
      <c r="Q37" s="86">
        <f t="shared" si="20"/>
        <v>0.33333333333333331</v>
      </c>
      <c r="R37" s="19">
        <f t="shared" si="14"/>
        <v>0</v>
      </c>
      <c r="S37" s="19"/>
      <c r="T37" s="19"/>
      <c r="U37" s="19"/>
      <c r="V37" s="19"/>
      <c r="W37" s="19">
        <f t="shared" si="15"/>
        <v>2833.333333333333</v>
      </c>
      <c r="X37" s="19">
        <f t="shared" si="15"/>
        <v>2833.333333333333</v>
      </c>
      <c r="Y37" s="19">
        <f t="shared" si="15"/>
        <v>2833.333333333333</v>
      </c>
      <c r="Z37" s="19">
        <f t="shared" si="15"/>
        <v>2833.333333333333</v>
      </c>
      <c r="AA37" s="19">
        <f t="shared" si="15"/>
        <v>2833.333333333333</v>
      </c>
      <c r="AB37" s="20">
        <f>SUM(R37:AA37)</f>
        <v>14166.666666666664</v>
      </c>
    </row>
    <row r="38" spans="1:29" outlineLevel="2" x14ac:dyDescent="0.3">
      <c r="A38" s="24" t="str">
        <f t="shared" si="12"/>
        <v>Data Replication Tools</v>
      </c>
      <c r="B38" s="24"/>
      <c r="C38" s="27">
        <f t="shared" si="16"/>
        <v>0</v>
      </c>
      <c r="D38" s="27">
        <f t="shared" si="16"/>
        <v>3000</v>
      </c>
      <c r="E38" s="28">
        <f t="shared" si="16"/>
        <v>1</v>
      </c>
      <c r="F38" s="29">
        <f t="shared" si="16"/>
        <v>0.5</v>
      </c>
      <c r="G38" s="87" t="str">
        <f t="shared" ref="G38:I38" si="25">G28</f>
        <v>core</v>
      </c>
      <c r="H38" s="87" t="str">
        <f t="shared" si="25"/>
        <v>core</v>
      </c>
      <c r="I38" s="87">
        <f t="shared" si="25"/>
        <v>1</v>
      </c>
      <c r="J38" s="1">
        <f t="shared" si="23"/>
        <v>0.33333333333333331</v>
      </c>
      <c r="K38" s="1">
        <f t="shared" si="18"/>
        <v>20</v>
      </c>
      <c r="L38" s="1">
        <f t="shared" si="18"/>
        <v>20</v>
      </c>
      <c r="O38">
        <f t="shared" si="19"/>
        <v>20</v>
      </c>
      <c r="P38" s="10" t="s">
        <v>34</v>
      </c>
      <c r="Q38" s="86">
        <f t="shared" si="20"/>
        <v>20</v>
      </c>
      <c r="R38" s="19">
        <f t="shared" si="14"/>
        <v>0</v>
      </c>
      <c r="S38" s="19"/>
      <c r="T38" s="19"/>
      <c r="U38" s="19"/>
      <c r="V38" s="19"/>
      <c r="W38" s="19">
        <f t="shared" si="15"/>
        <v>30000</v>
      </c>
      <c r="X38" s="19">
        <f t="shared" si="15"/>
        <v>30000</v>
      </c>
      <c r="Y38" s="19">
        <f t="shared" si="15"/>
        <v>30000</v>
      </c>
      <c r="Z38" s="19">
        <f t="shared" si="15"/>
        <v>30000</v>
      </c>
      <c r="AA38" s="19">
        <f t="shared" si="15"/>
        <v>30000</v>
      </c>
      <c r="AB38" s="20">
        <f>SUM(R38:AA38)</f>
        <v>150000</v>
      </c>
    </row>
    <row r="39" spans="1:29" outlineLevel="2" x14ac:dyDescent="0.3">
      <c r="A39" s="24" t="str">
        <f t="shared" si="12"/>
        <v>Monitoring Tools</v>
      </c>
      <c r="B39" s="24"/>
      <c r="C39" s="27">
        <f t="shared" si="16"/>
        <v>5000</v>
      </c>
      <c r="D39" s="27">
        <f t="shared" si="16"/>
        <v>1000</v>
      </c>
      <c r="E39" s="28">
        <f t="shared" si="16"/>
        <v>2</v>
      </c>
      <c r="F39" s="29">
        <f t="shared" si="16"/>
        <v>0.4</v>
      </c>
      <c r="G39" s="87" t="str">
        <f t="shared" ref="G39:I39" si="26">G29</f>
        <v>server</v>
      </c>
      <c r="H39" s="87" t="str">
        <f t="shared" si="26"/>
        <v>server</v>
      </c>
      <c r="I39" s="87">
        <f t="shared" si="26"/>
        <v>1</v>
      </c>
      <c r="J39" s="1">
        <f t="shared" si="23"/>
        <v>0.33333333333333331</v>
      </c>
      <c r="K39" s="1">
        <f t="shared" si="18"/>
        <v>20</v>
      </c>
      <c r="L39" s="1">
        <f t="shared" si="18"/>
        <v>20</v>
      </c>
      <c r="O39">
        <f t="shared" si="19"/>
        <v>0.33333333333333331</v>
      </c>
      <c r="P39" s="10" t="s">
        <v>35</v>
      </c>
      <c r="Q39" s="86">
        <f t="shared" si="20"/>
        <v>0.33333333333333331</v>
      </c>
      <c r="R39" s="19">
        <f t="shared" si="14"/>
        <v>999.99999999999989</v>
      </c>
      <c r="S39" s="19"/>
      <c r="T39" s="19"/>
      <c r="U39" s="19"/>
      <c r="V39" s="19"/>
      <c r="W39" s="19">
        <f t="shared" si="15"/>
        <v>0</v>
      </c>
      <c r="X39" s="19">
        <f t="shared" si="15"/>
        <v>199.99999999999997</v>
      </c>
      <c r="Y39" s="19">
        <f t="shared" si="15"/>
        <v>199.99999999999997</v>
      </c>
      <c r="Z39" s="19">
        <f t="shared" si="15"/>
        <v>199.99999999999997</v>
      </c>
      <c r="AA39" s="19">
        <f t="shared" si="15"/>
        <v>199.99999999999997</v>
      </c>
      <c r="AB39" s="20">
        <f t="shared" ref="AB39:AB40" si="27">SUM(R39:AA39)</f>
        <v>1799.9999999999998</v>
      </c>
    </row>
    <row r="40" spans="1:29" outlineLevel="2" x14ac:dyDescent="0.3">
      <c r="A40" s="24" t="str">
        <f t="shared" si="12"/>
        <v>Security Tools</v>
      </c>
      <c r="B40" s="24"/>
      <c r="C40" s="27">
        <f t="shared" si="16"/>
        <v>5000</v>
      </c>
      <c r="D40" s="27">
        <f t="shared" si="16"/>
        <v>1000</v>
      </c>
      <c r="E40" s="28">
        <f t="shared" si="16"/>
        <v>2</v>
      </c>
      <c r="F40" s="29">
        <f t="shared" si="16"/>
        <v>0.4</v>
      </c>
      <c r="G40" s="87" t="str">
        <f t="shared" ref="G40:I40" si="28">G30</f>
        <v>server</v>
      </c>
      <c r="H40" s="87" t="str">
        <f t="shared" si="28"/>
        <v>server</v>
      </c>
      <c r="I40" s="87">
        <f t="shared" si="28"/>
        <v>1</v>
      </c>
      <c r="J40" s="1">
        <f t="shared" si="23"/>
        <v>0.33333333333333331</v>
      </c>
      <c r="K40" s="1">
        <f t="shared" si="18"/>
        <v>20</v>
      </c>
      <c r="L40" s="1">
        <f t="shared" si="18"/>
        <v>20</v>
      </c>
      <c r="O40">
        <f t="shared" si="19"/>
        <v>0.33333333333333331</v>
      </c>
      <c r="P40" s="10" t="s">
        <v>35</v>
      </c>
      <c r="Q40" s="86">
        <f t="shared" si="20"/>
        <v>0.33333333333333331</v>
      </c>
      <c r="R40" s="19">
        <f t="shared" si="14"/>
        <v>999.99999999999989</v>
      </c>
      <c r="S40" s="19"/>
      <c r="T40" s="19"/>
      <c r="U40" s="19"/>
      <c r="V40" s="19"/>
      <c r="W40" s="19">
        <f t="shared" si="15"/>
        <v>0</v>
      </c>
      <c r="X40" s="19">
        <f t="shared" si="15"/>
        <v>199.99999999999997</v>
      </c>
      <c r="Y40" s="19">
        <f t="shared" si="15"/>
        <v>199.99999999999997</v>
      </c>
      <c r="Z40" s="19">
        <f t="shared" si="15"/>
        <v>199.99999999999997</v>
      </c>
      <c r="AA40" s="19">
        <f t="shared" si="15"/>
        <v>199.99999999999997</v>
      </c>
      <c r="AB40" s="20">
        <f t="shared" si="27"/>
        <v>1799.9999999999998</v>
      </c>
    </row>
    <row r="41" spans="1:29" s="39" customFormat="1" outlineLevel="1" x14ac:dyDescent="0.3">
      <c r="Q41" s="64" t="s">
        <v>98</v>
      </c>
      <c r="R41" s="61">
        <f>SUM(R34:R40)</f>
        <v>58184</v>
      </c>
      <c r="S41" s="61">
        <f t="shared" ref="S41:AB41" si="29">SUM(S34:S40)</f>
        <v>0</v>
      </c>
      <c r="T41" s="61">
        <f t="shared" si="29"/>
        <v>0</v>
      </c>
      <c r="U41" s="61">
        <f t="shared" si="29"/>
        <v>0</v>
      </c>
      <c r="V41" s="61">
        <f t="shared" si="29"/>
        <v>0</v>
      </c>
      <c r="W41" s="61">
        <f t="shared" si="29"/>
        <v>128833.33333333333</v>
      </c>
      <c r="X41" s="61">
        <f t="shared" si="29"/>
        <v>140465.33333333331</v>
      </c>
      <c r="Y41" s="61">
        <f t="shared" si="29"/>
        <v>140465.33333333331</v>
      </c>
      <c r="Z41" s="61">
        <f t="shared" si="29"/>
        <v>140465.33333333331</v>
      </c>
      <c r="AA41" s="61">
        <f t="shared" si="29"/>
        <v>140465.33333333331</v>
      </c>
      <c r="AB41" s="62">
        <f t="shared" si="29"/>
        <v>748878.66666666663</v>
      </c>
    </row>
    <row r="42" spans="1:29" ht="15" outlineLevel="1" thickBot="1" x14ac:dyDescent="0.35"/>
    <row r="43" spans="1:29" ht="36" customHeight="1" outlineLevel="1" thickBot="1" x14ac:dyDescent="0.35">
      <c r="A43" s="48" t="s">
        <v>8</v>
      </c>
      <c r="C43" s="11" t="s">
        <v>63</v>
      </c>
      <c r="D43" s="11" t="s">
        <v>22</v>
      </c>
      <c r="E43" s="11" t="s">
        <v>62</v>
      </c>
      <c r="F43" s="11" t="s">
        <v>23</v>
      </c>
      <c r="G43" s="11" t="s">
        <v>64</v>
      </c>
      <c r="H43" s="11" t="s">
        <v>93</v>
      </c>
      <c r="I43" s="83" t="s">
        <v>94</v>
      </c>
      <c r="J43" s="83" t="s">
        <v>35</v>
      </c>
      <c r="K43" s="83" t="s">
        <v>33</v>
      </c>
      <c r="L43" s="83" t="s">
        <v>34</v>
      </c>
      <c r="O43" s="5" t="s">
        <v>96</v>
      </c>
      <c r="P43" s="11" t="s">
        <v>64</v>
      </c>
      <c r="Q43" s="10" t="s">
        <v>65</v>
      </c>
      <c r="R43" s="53">
        <v>1</v>
      </c>
      <c r="S43" s="54">
        <v>2</v>
      </c>
      <c r="T43" s="54">
        <v>3</v>
      </c>
      <c r="U43" s="54">
        <v>4</v>
      </c>
      <c r="V43" s="55">
        <v>5</v>
      </c>
      <c r="W43" s="53">
        <v>1</v>
      </c>
      <c r="X43" s="54">
        <v>2</v>
      </c>
      <c r="Y43" s="54">
        <v>3</v>
      </c>
      <c r="Z43" s="54">
        <v>4</v>
      </c>
      <c r="AA43" s="55">
        <v>5</v>
      </c>
      <c r="AB43" s="57" t="s">
        <v>20</v>
      </c>
      <c r="AC43" s="10"/>
    </row>
    <row r="44" spans="1:29" outlineLevel="2" x14ac:dyDescent="0.3">
      <c r="A44" s="24" t="str">
        <f t="shared" ref="A44:A50" si="30">A24</f>
        <v>OS</v>
      </c>
      <c r="B44" s="24"/>
      <c r="C44" s="27">
        <f t="shared" ref="C44:F50" si="31">C24</f>
        <v>0</v>
      </c>
      <c r="D44" s="27">
        <f t="shared" si="31"/>
        <v>6000</v>
      </c>
      <c r="E44" s="28">
        <f t="shared" si="31"/>
        <v>1</v>
      </c>
      <c r="F44" s="29">
        <f t="shared" si="31"/>
        <v>0.2</v>
      </c>
      <c r="G44" s="87" t="str">
        <f>G34</f>
        <v>core</v>
      </c>
      <c r="H44" s="87" t="str">
        <f>H34</f>
        <v>core</v>
      </c>
      <c r="I44" s="87">
        <f>I34</f>
        <v>1</v>
      </c>
      <c r="J44" s="36">
        <f>$O$12</f>
        <v>0.33333333333333331</v>
      </c>
      <c r="K44" s="36">
        <f>$P$12</f>
        <v>20</v>
      </c>
      <c r="L44" s="36">
        <f>$Q$12</f>
        <v>20</v>
      </c>
      <c r="O44">
        <f>_xlfn.XLOOKUP($H44,$J$23:$L$23,$J44:$L44)</f>
        <v>20</v>
      </c>
      <c r="P44" s="10" t="s">
        <v>33</v>
      </c>
      <c r="Q44" s="86">
        <f>I44*O44</f>
        <v>20</v>
      </c>
      <c r="R44" s="19">
        <f t="shared" ref="R44:R50" si="32">$Q44*$C44*(1-$F44)</f>
        <v>0</v>
      </c>
      <c r="S44" s="19"/>
      <c r="T44" s="19"/>
      <c r="U44" s="19"/>
      <c r="V44" s="19"/>
      <c r="W44" s="19">
        <f t="shared" ref="W44:AA50" si="33">IF(W$9&lt;$E44,0,$Q44*$D44)*(1-$F44)</f>
        <v>96000</v>
      </c>
      <c r="X44" s="19">
        <f t="shared" si="33"/>
        <v>96000</v>
      </c>
      <c r="Y44" s="19">
        <f t="shared" si="33"/>
        <v>96000</v>
      </c>
      <c r="Z44" s="19">
        <f t="shared" si="33"/>
        <v>96000</v>
      </c>
      <c r="AA44" s="19">
        <f t="shared" si="33"/>
        <v>96000</v>
      </c>
      <c r="AB44" s="20">
        <f>SUM(R44:AA44)</f>
        <v>480000</v>
      </c>
    </row>
    <row r="45" spans="1:29" outlineLevel="2" x14ac:dyDescent="0.3">
      <c r="A45" s="24" t="str">
        <f t="shared" si="30"/>
        <v>VM</v>
      </c>
      <c r="B45" s="24"/>
      <c r="C45" s="27">
        <f t="shared" si="31"/>
        <v>0</v>
      </c>
      <c r="D45" s="27">
        <f t="shared" si="31"/>
        <v>0</v>
      </c>
      <c r="E45" s="28">
        <f t="shared" si="31"/>
        <v>2</v>
      </c>
      <c r="F45" s="29">
        <f t="shared" si="31"/>
        <v>0.2</v>
      </c>
      <c r="G45" s="87" t="str">
        <f t="shared" ref="G45:I45" si="34">G35</f>
        <v>core</v>
      </c>
      <c r="H45" s="87" t="str">
        <f t="shared" si="34"/>
        <v>core</v>
      </c>
      <c r="I45" s="87">
        <f t="shared" si="34"/>
        <v>1</v>
      </c>
      <c r="J45" s="1">
        <f>J44</f>
        <v>0.33333333333333331</v>
      </c>
      <c r="K45" s="1">
        <f t="shared" ref="K45:L50" si="35">K44</f>
        <v>20</v>
      </c>
      <c r="L45" s="1">
        <f t="shared" si="35"/>
        <v>20</v>
      </c>
      <c r="O45">
        <f t="shared" ref="O45:O50" si="36">_xlfn.XLOOKUP($H45,$J$23:$L$23,$J45:$L45)</f>
        <v>20</v>
      </c>
      <c r="P45" s="10" t="s">
        <v>33</v>
      </c>
      <c r="Q45" s="86">
        <f t="shared" ref="Q45:Q50" si="37">I45*O45</f>
        <v>20</v>
      </c>
      <c r="R45" s="19">
        <f t="shared" si="32"/>
        <v>0</v>
      </c>
      <c r="S45" s="19"/>
      <c r="T45" s="19"/>
      <c r="U45" s="19"/>
      <c r="V45" s="19"/>
      <c r="W45" s="19">
        <f t="shared" si="33"/>
        <v>0</v>
      </c>
      <c r="X45" s="19">
        <f t="shared" si="33"/>
        <v>0</v>
      </c>
      <c r="Y45" s="19">
        <f t="shared" si="33"/>
        <v>0</v>
      </c>
      <c r="Z45" s="19">
        <f t="shared" si="33"/>
        <v>0</v>
      </c>
      <c r="AA45" s="19">
        <f t="shared" si="33"/>
        <v>0</v>
      </c>
      <c r="AB45" s="20">
        <f t="shared" ref="AB45:AB46" si="38">SUM(R45:AA45)</f>
        <v>0</v>
      </c>
    </row>
    <row r="46" spans="1:29" outlineLevel="2" x14ac:dyDescent="0.3">
      <c r="A46" s="24" t="str">
        <f t="shared" si="30"/>
        <v>Application Server</v>
      </c>
      <c r="B46" s="24"/>
      <c r="C46" s="27">
        <f t="shared" si="31"/>
        <v>46.82</v>
      </c>
      <c r="D46" s="27">
        <f t="shared" si="31"/>
        <v>9.36</v>
      </c>
      <c r="E46" s="28">
        <f t="shared" si="31"/>
        <v>2</v>
      </c>
      <c r="F46" s="29">
        <f t="shared" si="31"/>
        <v>0.5</v>
      </c>
      <c r="G46" s="87" t="str">
        <f t="shared" ref="G46:I46" si="39">G36</f>
        <v>PVU</v>
      </c>
      <c r="H46" s="87" t="str">
        <f t="shared" si="39"/>
        <v>core</v>
      </c>
      <c r="I46" s="87">
        <f t="shared" si="39"/>
        <v>120</v>
      </c>
      <c r="J46" s="1">
        <f t="shared" ref="J46:J50" si="40">J45</f>
        <v>0.33333333333333331</v>
      </c>
      <c r="K46" s="1">
        <f t="shared" si="35"/>
        <v>20</v>
      </c>
      <c r="L46" s="1">
        <f t="shared" si="35"/>
        <v>20</v>
      </c>
      <c r="O46">
        <f t="shared" si="36"/>
        <v>20</v>
      </c>
      <c r="P46" s="10" t="s">
        <v>95</v>
      </c>
      <c r="Q46" s="86">
        <f t="shared" si="37"/>
        <v>2400</v>
      </c>
      <c r="R46" s="19">
        <f t="shared" si="32"/>
        <v>56184</v>
      </c>
      <c r="S46" s="19"/>
      <c r="T46" s="19"/>
      <c r="U46" s="19"/>
      <c r="V46" s="19"/>
      <c r="W46" s="19">
        <f t="shared" si="33"/>
        <v>0</v>
      </c>
      <c r="X46" s="19">
        <f t="shared" si="33"/>
        <v>11232</v>
      </c>
      <c r="Y46" s="19">
        <f t="shared" si="33"/>
        <v>11232</v>
      </c>
      <c r="Z46" s="19">
        <f t="shared" si="33"/>
        <v>11232</v>
      </c>
      <c r="AA46" s="19">
        <f t="shared" si="33"/>
        <v>11232</v>
      </c>
      <c r="AB46" s="20">
        <f t="shared" si="38"/>
        <v>101112</v>
      </c>
    </row>
    <row r="47" spans="1:29" outlineLevel="2" x14ac:dyDescent="0.3">
      <c r="A47" s="24" t="str">
        <f t="shared" si="30"/>
        <v>DB</v>
      </c>
      <c r="B47" s="24"/>
      <c r="C47" s="27">
        <f t="shared" si="31"/>
        <v>0</v>
      </c>
      <c r="D47" s="27">
        <f t="shared" si="31"/>
        <v>8500</v>
      </c>
      <c r="E47" s="28">
        <f t="shared" si="31"/>
        <v>1</v>
      </c>
      <c r="F47" s="29">
        <f t="shared" si="31"/>
        <v>0</v>
      </c>
      <c r="G47" s="87" t="str">
        <f t="shared" ref="G47:I47" si="41">G37</f>
        <v>server</v>
      </c>
      <c r="H47" s="87" t="str">
        <f t="shared" si="41"/>
        <v>server</v>
      </c>
      <c r="I47" s="87">
        <f t="shared" si="41"/>
        <v>1</v>
      </c>
      <c r="J47" s="1">
        <f t="shared" si="40"/>
        <v>0.33333333333333331</v>
      </c>
      <c r="K47" s="1">
        <f t="shared" si="35"/>
        <v>20</v>
      </c>
      <c r="L47" s="1">
        <f t="shared" si="35"/>
        <v>20</v>
      </c>
      <c r="O47">
        <f t="shared" si="36"/>
        <v>0.33333333333333331</v>
      </c>
      <c r="P47" s="10" t="s">
        <v>34</v>
      </c>
      <c r="Q47" s="86">
        <f t="shared" si="37"/>
        <v>0.33333333333333331</v>
      </c>
      <c r="R47" s="19">
        <f t="shared" si="32"/>
        <v>0</v>
      </c>
      <c r="S47" s="19"/>
      <c r="T47" s="19"/>
      <c r="U47" s="19"/>
      <c r="V47" s="19"/>
      <c r="W47" s="19">
        <f t="shared" si="33"/>
        <v>2833.333333333333</v>
      </c>
      <c r="X47" s="19">
        <f t="shared" si="33"/>
        <v>2833.333333333333</v>
      </c>
      <c r="Y47" s="19">
        <f t="shared" si="33"/>
        <v>2833.333333333333</v>
      </c>
      <c r="Z47" s="19">
        <f t="shared" si="33"/>
        <v>2833.333333333333</v>
      </c>
      <c r="AA47" s="19">
        <f t="shared" si="33"/>
        <v>2833.333333333333</v>
      </c>
      <c r="AB47" s="20">
        <f>SUM(R47:AA47)</f>
        <v>14166.666666666664</v>
      </c>
    </row>
    <row r="48" spans="1:29" outlineLevel="2" x14ac:dyDescent="0.3">
      <c r="A48" s="24" t="str">
        <f t="shared" si="30"/>
        <v>Data Replication Tools</v>
      </c>
      <c r="B48" s="24"/>
      <c r="C48" s="27">
        <f t="shared" si="31"/>
        <v>0</v>
      </c>
      <c r="D48" s="27">
        <f t="shared" si="31"/>
        <v>3000</v>
      </c>
      <c r="E48" s="28">
        <f t="shared" si="31"/>
        <v>1</v>
      </c>
      <c r="F48" s="29">
        <f t="shared" si="31"/>
        <v>0.5</v>
      </c>
      <c r="G48" s="87" t="str">
        <f t="shared" ref="G48:I48" si="42">G38</f>
        <v>core</v>
      </c>
      <c r="H48" s="87" t="str">
        <f t="shared" si="42"/>
        <v>core</v>
      </c>
      <c r="I48" s="87">
        <f t="shared" si="42"/>
        <v>1</v>
      </c>
      <c r="J48" s="1">
        <f t="shared" si="40"/>
        <v>0.33333333333333331</v>
      </c>
      <c r="K48" s="1">
        <f t="shared" si="35"/>
        <v>20</v>
      </c>
      <c r="L48" s="1">
        <f t="shared" si="35"/>
        <v>20</v>
      </c>
      <c r="O48">
        <f t="shared" si="36"/>
        <v>20</v>
      </c>
      <c r="P48" s="10" t="s">
        <v>34</v>
      </c>
      <c r="Q48" s="86">
        <f t="shared" si="37"/>
        <v>20</v>
      </c>
      <c r="R48" s="19">
        <f t="shared" si="32"/>
        <v>0</v>
      </c>
      <c r="S48" s="19"/>
      <c r="T48" s="19"/>
      <c r="U48" s="19"/>
      <c r="V48" s="19"/>
      <c r="W48" s="19">
        <f t="shared" si="33"/>
        <v>30000</v>
      </c>
      <c r="X48" s="19">
        <f t="shared" si="33"/>
        <v>30000</v>
      </c>
      <c r="Y48" s="19">
        <f t="shared" si="33"/>
        <v>30000</v>
      </c>
      <c r="Z48" s="19">
        <f t="shared" si="33"/>
        <v>30000</v>
      </c>
      <c r="AA48" s="19">
        <f t="shared" si="33"/>
        <v>30000</v>
      </c>
      <c r="AB48" s="20">
        <f>SUM(R48:AA48)</f>
        <v>150000</v>
      </c>
    </row>
    <row r="49" spans="1:29" outlineLevel="2" x14ac:dyDescent="0.3">
      <c r="A49" s="24" t="str">
        <f t="shared" si="30"/>
        <v>Monitoring Tools</v>
      </c>
      <c r="B49" s="24"/>
      <c r="C49" s="27">
        <f t="shared" si="31"/>
        <v>5000</v>
      </c>
      <c r="D49" s="27">
        <f t="shared" si="31"/>
        <v>1000</v>
      </c>
      <c r="E49" s="28">
        <f t="shared" si="31"/>
        <v>2</v>
      </c>
      <c r="F49" s="29">
        <f t="shared" si="31"/>
        <v>0.4</v>
      </c>
      <c r="G49" s="87" t="str">
        <f t="shared" ref="G49:I49" si="43">G39</f>
        <v>server</v>
      </c>
      <c r="H49" s="87" t="str">
        <f t="shared" si="43"/>
        <v>server</v>
      </c>
      <c r="I49" s="87">
        <f t="shared" si="43"/>
        <v>1</v>
      </c>
      <c r="J49" s="1">
        <f t="shared" si="40"/>
        <v>0.33333333333333331</v>
      </c>
      <c r="K49" s="1">
        <f t="shared" si="35"/>
        <v>20</v>
      </c>
      <c r="L49" s="1">
        <f t="shared" si="35"/>
        <v>20</v>
      </c>
      <c r="O49">
        <f t="shared" si="36"/>
        <v>0.33333333333333331</v>
      </c>
      <c r="P49" s="10" t="s">
        <v>35</v>
      </c>
      <c r="Q49" s="86">
        <f t="shared" si="37"/>
        <v>0.33333333333333331</v>
      </c>
      <c r="R49" s="19">
        <f t="shared" si="32"/>
        <v>999.99999999999989</v>
      </c>
      <c r="S49" s="19"/>
      <c r="T49" s="19"/>
      <c r="U49" s="19"/>
      <c r="V49" s="19"/>
      <c r="W49" s="19">
        <f t="shared" si="33"/>
        <v>0</v>
      </c>
      <c r="X49" s="19">
        <f t="shared" si="33"/>
        <v>199.99999999999997</v>
      </c>
      <c r="Y49" s="19">
        <f t="shared" si="33"/>
        <v>199.99999999999997</v>
      </c>
      <c r="Z49" s="19">
        <f t="shared" si="33"/>
        <v>199.99999999999997</v>
      </c>
      <c r="AA49" s="19">
        <f t="shared" si="33"/>
        <v>199.99999999999997</v>
      </c>
      <c r="AB49" s="20">
        <f t="shared" ref="AB49:AB50" si="44">SUM(R49:AA49)</f>
        <v>1799.9999999999998</v>
      </c>
    </row>
    <row r="50" spans="1:29" outlineLevel="2" x14ac:dyDescent="0.3">
      <c r="A50" s="24" t="str">
        <f t="shared" si="30"/>
        <v>Security Tools</v>
      </c>
      <c r="B50" s="24"/>
      <c r="C50" s="27">
        <f t="shared" si="31"/>
        <v>5000</v>
      </c>
      <c r="D50" s="27">
        <f t="shared" si="31"/>
        <v>1000</v>
      </c>
      <c r="E50" s="28">
        <f t="shared" si="31"/>
        <v>2</v>
      </c>
      <c r="F50" s="29">
        <f t="shared" si="31"/>
        <v>0.4</v>
      </c>
      <c r="G50" s="87" t="str">
        <f t="shared" ref="G50:I50" si="45">G40</f>
        <v>server</v>
      </c>
      <c r="H50" s="87" t="str">
        <f t="shared" si="45"/>
        <v>server</v>
      </c>
      <c r="I50" s="87">
        <f t="shared" si="45"/>
        <v>1</v>
      </c>
      <c r="J50" s="1">
        <f t="shared" si="40"/>
        <v>0.33333333333333331</v>
      </c>
      <c r="K50" s="1">
        <f t="shared" si="35"/>
        <v>20</v>
      </c>
      <c r="L50" s="1">
        <f t="shared" si="35"/>
        <v>20</v>
      </c>
      <c r="O50">
        <f t="shared" si="36"/>
        <v>0.33333333333333331</v>
      </c>
      <c r="P50" s="10" t="s">
        <v>35</v>
      </c>
      <c r="Q50" s="86">
        <f t="shared" si="37"/>
        <v>0.33333333333333331</v>
      </c>
      <c r="R50" s="19">
        <f t="shared" si="32"/>
        <v>999.99999999999989</v>
      </c>
      <c r="S50" s="19"/>
      <c r="T50" s="19"/>
      <c r="U50" s="19"/>
      <c r="V50" s="19"/>
      <c r="W50" s="19">
        <f t="shared" si="33"/>
        <v>0</v>
      </c>
      <c r="X50" s="19">
        <f t="shared" si="33"/>
        <v>199.99999999999997</v>
      </c>
      <c r="Y50" s="19">
        <f t="shared" si="33"/>
        <v>199.99999999999997</v>
      </c>
      <c r="Z50" s="19">
        <f t="shared" si="33"/>
        <v>199.99999999999997</v>
      </c>
      <c r="AA50" s="19">
        <f t="shared" si="33"/>
        <v>199.99999999999997</v>
      </c>
      <c r="AB50" s="20">
        <f t="shared" si="44"/>
        <v>1799.9999999999998</v>
      </c>
    </row>
    <row r="51" spans="1:29" s="39" customFormat="1" outlineLevel="1" x14ac:dyDescent="0.3">
      <c r="Q51" s="64" t="s">
        <v>8</v>
      </c>
      <c r="R51" s="61">
        <f>SUM(R44:R50)</f>
        <v>58184</v>
      </c>
      <c r="S51" s="61">
        <f t="shared" ref="S51:AB51" si="46">SUM(S44:S50)</f>
        <v>0</v>
      </c>
      <c r="T51" s="61">
        <f t="shared" si="46"/>
        <v>0</v>
      </c>
      <c r="U51" s="61">
        <f t="shared" si="46"/>
        <v>0</v>
      </c>
      <c r="V51" s="61">
        <f t="shared" si="46"/>
        <v>0</v>
      </c>
      <c r="W51" s="61">
        <f t="shared" si="46"/>
        <v>128833.33333333333</v>
      </c>
      <c r="X51" s="61">
        <f t="shared" si="46"/>
        <v>140465.33333333331</v>
      </c>
      <c r="Y51" s="61">
        <f t="shared" si="46"/>
        <v>140465.33333333331</v>
      </c>
      <c r="Z51" s="61">
        <f t="shared" si="46"/>
        <v>140465.33333333331</v>
      </c>
      <c r="AA51" s="61">
        <f t="shared" si="46"/>
        <v>140465.33333333331</v>
      </c>
      <c r="AB51" s="62">
        <f t="shared" si="46"/>
        <v>748878.66666666663</v>
      </c>
    </row>
    <row r="52" spans="1:29" ht="15" outlineLevel="1" thickBot="1" x14ac:dyDescent="0.35"/>
    <row r="53" spans="1:29" ht="36.75" customHeight="1" outlineLevel="1" thickBot="1" x14ac:dyDescent="0.35">
      <c r="A53" s="48" t="s">
        <v>70</v>
      </c>
      <c r="C53" s="11" t="s">
        <v>63</v>
      </c>
      <c r="D53" s="11" t="s">
        <v>22</v>
      </c>
      <c r="E53" s="11" t="s">
        <v>62</v>
      </c>
      <c r="F53" s="11" t="s">
        <v>23</v>
      </c>
      <c r="G53" s="11" t="s">
        <v>64</v>
      </c>
      <c r="H53" s="11" t="s">
        <v>93</v>
      </c>
      <c r="I53" s="83" t="s">
        <v>94</v>
      </c>
      <c r="J53" s="83" t="s">
        <v>35</v>
      </c>
      <c r="K53" s="83" t="s">
        <v>33</v>
      </c>
      <c r="L53" s="83" t="s">
        <v>34</v>
      </c>
      <c r="O53" s="5" t="s">
        <v>96</v>
      </c>
      <c r="P53" s="11" t="s">
        <v>64</v>
      </c>
      <c r="Q53" s="10" t="s">
        <v>65</v>
      </c>
      <c r="R53" s="53">
        <v>1</v>
      </c>
      <c r="S53" s="54">
        <v>2</v>
      </c>
      <c r="T53" s="54">
        <v>3</v>
      </c>
      <c r="U53" s="54">
        <v>4</v>
      </c>
      <c r="V53" s="55">
        <v>5</v>
      </c>
      <c r="W53" s="53">
        <v>1</v>
      </c>
      <c r="X53" s="54">
        <v>2</v>
      </c>
      <c r="Y53" s="54">
        <v>3</v>
      </c>
      <c r="Z53" s="54">
        <v>4</v>
      </c>
      <c r="AA53" s="55">
        <v>5</v>
      </c>
      <c r="AB53" s="57" t="s">
        <v>20</v>
      </c>
      <c r="AC53" s="10"/>
    </row>
    <row r="54" spans="1:29" outlineLevel="2" x14ac:dyDescent="0.3">
      <c r="A54" s="24" t="str">
        <f t="shared" ref="A54:A60" si="47">A24</f>
        <v>OS</v>
      </c>
      <c r="B54" s="24"/>
      <c r="C54" s="27">
        <f t="shared" ref="C54:F60" si="48">C24</f>
        <v>0</v>
      </c>
      <c r="D54" s="27">
        <f t="shared" si="48"/>
        <v>6000</v>
      </c>
      <c r="E54" s="28">
        <f t="shared" si="48"/>
        <v>1</v>
      </c>
      <c r="F54" s="29">
        <f t="shared" si="48"/>
        <v>0.2</v>
      </c>
      <c r="G54" s="87" t="str">
        <f>G44</f>
        <v>core</v>
      </c>
      <c r="H54" s="87" t="str">
        <f>H44</f>
        <v>core</v>
      </c>
      <c r="I54" s="87">
        <f>I44</f>
        <v>1</v>
      </c>
      <c r="J54" s="36">
        <f>$O$13</f>
        <v>0.66666666666666663</v>
      </c>
      <c r="K54" s="36">
        <f>$P$13</f>
        <v>40</v>
      </c>
      <c r="L54" s="36">
        <f>$Q$13</f>
        <v>40</v>
      </c>
      <c r="O54">
        <f>_xlfn.XLOOKUP($H54,$J$23:$L$23,$J54:$L54)</f>
        <v>40</v>
      </c>
      <c r="P54" s="10" t="s">
        <v>33</v>
      </c>
      <c r="Q54" s="86">
        <f>I54*O54</f>
        <v>40</v>
      </c>
      <c r="R54" s="19">
        <f t="shared" ref="R54:R60" si="49">$Q54*$C54*(1-$F54)</f>
        <v>0</v>
      </c>
      <c r="S54" s="19"/>
      <c r="T54" s="19"/>
      <c r="U54" s="19"/>
      <c r="V54" s="19"/>
      <c r="W54" s="19">
        <f t="shared" ref="W54:AA60" si="50">IF(W$9&lt;$E54,0,$Q54*$D54)*(1-$F54)</f>
        <v>192000</v>
      </c>
      <c r="X54" s="19">
        <f t="shared" si="50"/>
        <v>192000</v>
      </c>
      <c r="Y54" s="19">
        <f t="shared" si="50"/>
        <v>192000</v>
      </c>
      <c r="Z54" s="19">
        <f t="shared" si="50"/>
        <v>192000</v>
      </c>
      <c r="AA54" s="19">
        <f t="shared" si="50"/>
        <v>192000</v>
      </c>
      <c r="AB54" s="20">
        <f>SUM(R54:AA54)</f>
        <v>960000</v>
      </c>
    </row>
    <row r="55" spans="1:29" outlineLevel="2" x14ac:dyDescent="0.3">
      <c r="A55" s="24" t="str">
        <f t="shared" si="47"/>
        <v>VM</v>
      </c>
      <c r="B55" s="24"/>
      <c r="C55" s="27">
        <f t="shared" si="48"/>
        <v>0</v>
      </c>
      <c r="D55" s="27">
        <f t="shared" si="48"/>
        <v>0</v>
      </c>
      <c r="E55" s="28">
        <f t="shared" si="48"/>
        <v>2</v>
      </c>
      <c r="F55" s="29">
        <f t="shared" si="48"/>
        <v>0.2</v>
      </c>
      <c r="G55" s="87" t="str">
        <f t="shared" ref="G55:I55" si="51">G45</f>
        <v>core</v>
      </c>
      <c r="H55" s="87" t="str">
        <f t="shared" si="51"/>
        <v>core</v>
      </c>
      <c r="I55" s="87">
        <f t="shared" si="51"/>
        <v>1</v>
      </c>
      <c r="J55" s="1">
        <f>J54</f>
        <v>0.66666666666666663</v>
      </c>
      <c r="K55" s="1">
        <f t="shared" ref="K55:L60" si="52">K54</f>
        <v>40</v>
      </c>
      <c r="L55" s="1">
        <f t="shared" si="52"/>
        <v>40</v>
      </c>
      <c r="O55">
        <f t="shared" ref="O55:O60" si="53">_xlfn.XLOOKUP($H55,$J$23:$L$23,$J55:$L55)</f>
        <v>40</v>
      </c>
      <c r="P55" s="10" t="s">
        <v>33</v>
      </c>
      <c r="Q55" s="86">
        <f t="shared" ref="Q55:Q60" si="54">I55*O55</f>
        <v>40</v>
      </c>
      <c r="R55" s="19">
        <f t="shared" si="49"/>
        <v>0</v>
      </c>
      <c r="S55" s="19"/>
      <c r="T55" s="19"/>
      <c r="U55" s="19"/>
      <c r="V55" s="19"/>
      <c r="W55" s="19">
        <f t="shared" si="50"/>
        <v>0</v>
      </c>
      <c r="X55" s="19">
        <f t="shared" si="50"/>
        <v>0</v>
      </c>
      <c r="Y55" s="19">
        <f t="shared" si="50"/>
        <v>0</v>
      </c>
      <c r="Z55" s="19">
        <f t="shared" si="50"/>
        <v>0</v>
      </c>
      <c r="AA55" s="19">
        <f t="shared" si="50"/>
        <v>0</v>
      </c>
      <c r="AB55" s="20">
        <f t="shared" ref="AB55:AB56" si="55">SUM(R55:AA55)</f>
        <v>0</v>
      </c>
    </row>
    <row r="56" spans="1:29" outlineLevel="2" x14ac:dyDescent="0.3">
      <c r="A56" s="24" t="str">
        <f t="shared" si="47"/>
        <v>Application Server</v>
      </c>
      <c r="B56" s="24"/>
      <c r="C56" s="27">
        <f t="shared" si="48"/>
        <v>46.82</v>
      </c>
      <c r="D56" s="27">
        <f t="shared" si="48"/>
        <v>9.36</v>
      </c>
      <c r="E56" s="28">
        <f t="shared" si="48"/>
        <v>2</v>
      </c>
      <c r="F56" s="29">
        <f t="shared" si="48"/>
        <v>0.5</v>
      </c>
      <c r="G56" s="87" t="str">
        <f t="shared" ref="G56:I56" si="56">G46</f>
        <v>PVU</v>
      </c>
      <c r="H56" s="87" t="str">
        <f t="shared" si="56"/>
        <v>core</v>
      </c>
      <c r="I56" s="87">
        <f t="shared" si="56"/>
        <v>120</v>
      </c>
      <c r="J56" s="1">
        <f t="shared" ref="J56:J60" si="57">J55</f>
        <v>0.66666666666666663</v>
      </c>
      <c r="K56" s="1">
        <f t="shared" si="52"/>
        <v>40</v>
      </c>
      <c r="L56" s="1">
        <f t="shared" si="52"/>
        <v>40</v>
      </c>
      <c r="O56">
        <f t="shared" si="53"/>
        <v>40</v>
      </c>
      <c r="P56" s="10" t="s">
        <v>95</v>
      </c>
      <c r="Q56" s="86">
        <f t="shared" si="54"/>
        <v>4800</v>
      </c>
      <c r="R56" s="19">
        <f t="shared" si="49"/>
        <v>112368</v>
      </c>
      <c r="S56" s="19"/>
      <c r="T56" s="19"/>
      <c r="U56" s="19"/>
      <c r="V56" s="19"/>
      <c r="W56" s="19">
        <f t="shared" si="50"/>
        <v>0</v>
      </c>
      <c r="X56" s="19">
        <f t="shared" si="50"/>
        <v>22464</v>
      </c>
      <c r="Y56" s="19">
        <f t="shared" si="50"/>
        <v>22464</v>
      </c>
      <c r="Z56" s="19">
        <f t="shared" si="50"/>
        <v>22464</v>
      </c>
      <c r="AA56" s="19">
        <f t="shared" si="50"/>
        <v>22464</v>
      </c>
      <c r="AB56" s="20">
        <f t="shared" si="55"/>
        <v>202224</v>
      </c>
    </row>
    <row r="57" spans="1:29" outlineLevel="2" x14ac:dyDescent="0.3">
      <c r="A57" s="24" t="str">
        <f t="shared" si="47"/>
        <v>DB</v>
      </c>
      <c r="B57" s="24"/>
      <c r="C57" s="27">
        <f t="shared" si="48"/>
        <v>0</v>
      </c>
      <c r="D57" s="27">
        <f t="shared" si="48"/>
        <v>8500</v>
      </c>
      <c r="E57" s="28">
        <f t="shared" si="48"/>
        <v>1</v>
      </c>
      <c r="F57" s="29">
        <f t="shared" si="48"/>
        <v>0</v>
      </c>
      <c r="G57" s="87" t="str">
        <f t="shared" ref="G57:I57" si="58">G47</f>
        <v>server</v>
      </c>
      <c r="H57" s="87" t="str">
        <f t="shared" si="58"/>
        <v>server</v>
      </c>
      <c r="I57" s="87">
        <f t="shared" si="58"/>
        <v>1</v>
      </c>
      <c r="J57" s="1">
        <f t="shared" si="57"/>
        <v>0.66666666666666663</v>
      </c>
      <c r="K57" s="1">
        <f t="shared" si="52"/>
        <v>40</v>
      </c>
      <c r="L57" s="1">
        <f t="shared" si="52"/>
        <v>40</v>
      </c>
      <c r="O57">
        <f t="shared" si="53"/>
        <v>0.66666666666666663</v>
      </c>
      <c r="P57" s="10" t="s">
        <v>34</v>
      </c>
      <c r="Q57" s="86">
        <f t="shared" si="54"/>
        <v>0.66666666666666663</v>
      </c>
      <c r="R57" s="19">
        <f t="shared" si="49"/>
        <v>0</v>
      </c>
      <c r="S57" s="19"/>
      <c r="T57" s="19"/>
      <c r="U57" s="19"/>
      <c r="V57" s="19"/>
      <c r="W57" s="19">
        <f t="shared" si="50"/>
        <v>5666.6666666666661</v>
      </c>
      <c r="X57" s="19">
        <f t="shared" si="50"/>
        <v>5666.6666666666661</v>
      </c>
      <c r="Y57" s="19">
        <f t="shared" si="50"/>
        <v>5666.6666666666661</v>
      </c>
      <c r="Z57" s="19">
        <f t="shared" si="50"/>
        <v>5666.6666666666661</v>
      </c>
      <c r="AA57" s="19">
        <f t="shared" si="50"/>
        <v>5666.6666666666661</v>
      </c>
      <c r="AB57" s="20">
        <f>SUM(R57:AA57)</f>
        <v>28333.333333333328</v>
      </c>
    </row>
    <row r="58" spans="1:29" outlineLevel="2" x14ac:dyDescent="0.3">
      <c r="A58" s="24" t="str">
        <f t="shared" si="47"/>
        <v>Data Replication Tools</v>
      </c>
      <c r="B58" s="24"/>
      <c r="C58" s="27">
        <f t="shared" si="48"/>
        <v>0</v>
      </c>
      <c r="D58" s="27">
        <f t="shared" si="48"/>
        <v>3000</v>
      </c>
      <c r="E58" s="28">
        <f t="shared" si="48"/>
        <v>1</v>
      </c>
      <c r="F58" s="29">
        <f t="shared" si="48"/>
        <v>0.5</v>
      </c>
      <c r="G58" s="87" t="str">
        <f t="shared" ref="G58:I58" si="59">G48</f>
        <v>core</v>
      </c>
      <c r="H58" s="87" t="str">
        <f t="shared" si="59"/>
        <v>core</v>
      </c>
      <c r="I58" s="87">
        <f t="shared" si="59"/>
        <v>1</v>
      </c>
      <c r="J58" s="1">
        <f t="shared" si="57"/>
        <v>0.66666666666666663</v>
      </c>
      <c r="K58" s="1">
        <f t="shared" si="52"/>
        <v>40</v>
      </c>
      <c r="L58" s="1">
        <f t="shared" si="52"/>
        <v>40</v>
      </c>
      <c r="O58">
        <f t="shared" si="53"/>
        <v>40</v>
      </c>
      <c r="P58" s="10" t="s">
        <v>34</v>
      </c>
      <c r="Q58" s="86">
        <f t="shared" si="54"/>
        <v>40</v>
      </c>
      <c r="R58" s="19">
        <f t="shared" si="49"/>
        <v>0</v>
      </c>
      <c r="S58" s="19"/>
      <c r="T58" s="19"/>
      <c r="U58" s="19"/>
      <c r="V58" s="19"/>
      <c r="W58" s="19">
        <f t="shared" si="50"/>
        <v>60000</v>
      </c>
      <c r="X58" s="19">
        <f t="shared" si="50"/>
        <v>60000</v>
      </c>
      <c r="Y58" s="19">
        <f t="shared" si="50"/>
        <v>60000</v>
      </c>
      <c r="Z58" s="19">
        <f t="shared" si="50"/>
        <v>60000</v>
      </c>
      <c r="AA58" s="19">
        <f t="shared" si="50"/>
        <v>60000</v>
      </c>
      <c r="AB58" s="20">
        <f>SUM(R58:AA58)</f>
        <v>300000</v>
      </c>
    </row>
    <row r="59" spans="1:29" outlineLevel="2" x14ac:dyDescent="0.3">
      <c r="A59" s="24" t="str">
        <f t="shared" si="47"/>
        <v>Monitoring Tools</v>
      </c>
      <c r="B59" s="24"/>
      <c r="C59" s="27">
        <f t="shared" si="48"/>
        <v>5000</v>
      </c>
      <c r="D59" s="27">
        <f t="shared" si="48"/>
        <v>1000</v>
      </c>
      <c r="E59" s="28">
        <f t="shared" si="48"/>
        <v>2</v>
      </c>
      <c r="F59" s="29">
        <f t="shared" si="48"/>
        <v>0.4</v>
      </c>
      <c r="G59" s="87" t="str">
        <f t="shared" ref="G59:I59" si="60">G49</f>
        <v>server</v>
      </c>
      <c r="H59" s="87" t="str">
        <f t="shared" si="60"/>
        <v>server</v>
      </c>
      <c r="I59" s="87">
        <f t="shared" si="60"/>
        <v>1</v>
      </c>
      <c r="J59" s="1">
        <f t="shared" si="57"/>
        <v>0.66666666666666663</v>
      </c>
      <c r="K59" s="1">
        <f t="shared" si="52"/>
        <v>40</v>
      </c>
      <c r="L59" s="1">
        <f t="shared" si="52"/>
        <v>40</v>
      </c>
      <c r="O59">
        <f t="shared" si="53"/>
        <v>0.66666666666666663</v>
      </c>
      <c r="P59" s="10" t="s">
        <v>35</v>
      </c>
      <c r="Q59" s="86">
        <f t="shared" si="54"/>
        <v>0.66666666666666663</v>
      </c>
      <c r="R59" s="19">
        <f t="shared" si="49"/>
        <v>1999.9999999999998</v>
      </c>
      <c r="S59" s="19"/>
      <c r="T59" s="19"/>
      <c r="U59" s="19"/>
      <c r="V59" s="19"/>
      <c r="W59" s="19">
        <f t="shared" si="50"/>
        <v>0</v>
      </c>
      <c r="X59" s="19">
        <f t="shared" si="50"/>
        <v>399.99999999999994</v>
      </c>
      <c r="Y59" s="19">
        <f t="shared" si="50"/>
        <v>399.99999999999994</v>
      </c>
      <c r="Z59" s="19">
        <f t="shared" si="50"/>
        <v>399.99999999999994</v>
      </c>
      <c r="AA59" s="19">
        <f t="shared" si="50"/>
        <v>399.99999999999994</v>
      </c>
      <c r="AB59" s="20">
        <f t="shared" ref="AB59:AB60" si="61">SUM(R59:AA59)</f>
        <v>3599.9999999999995</v>
      </c>
    </row>
    <row r="60" spans="1:29" outlineLevel="2" x14ac:dyDescent="0.3">
      <c r="A60" s="24" t="str">
        <f t="shared" si="47"/>
        <v>Security Tools</v>
      </c>
      <c r="B60" s="24"/>
      <c r="C60" s="27">
        <f t="shared" si="48"/>
        <v>5000</v>
      </c>
      <c r="D60" s="27">
        <f t="shared" si="48"/>
        <v>1000</v>
      </c>
      <c r="E60" s="28">
        <f t="shared" si="48"/>
        <v>2</v>
      </c>
      <c r="F60" s="29">
        <f t="shared" si="48"/>
        <v>0.4</v>
      </c>
      <c r="G60" s="87" t="str">
        <f t="shared" ref="G60:I60" si="62">G50</f>
        <v>server</v>
      </c>
      <c r="H60" s="87" t="str">
        <f t="shared" si="62"/>
        <v>server</v>
      </c>
      <c r="I60" s="87">
        <f t="shared" si="62"/>
        <v>1</v>
      </c>
      <c r="J60" s="1">
        <f t="shared" si="57"/>
        <v>0.66666666666666663</v>
      </c>
      <c r="K60" s="1">
        <f t="shared" si="52"/>
        <v>40</v>
      </c>
      <c r="L60" s="1">
        <f t="shared" si="52"/>
        <v>40</v>
      </c>
      <c r="O60">
        <f t="shared" si="53"/>
        <v>0.66666666666666663</v>
      </c>
      <c r="P60" s="10" t="s">
        <v>35</v>
      </c>
      <c r="Q60" s="86">
        <f t="shared" si="54"/>
        <v>0.66666666666666663</v>
      </c>
      <c r="R60" s="19">
        <f t="shared" si="49"/>
        <v>1999.9999999999998</v>
      </c>
      <c r="S60" s="19"/>
      <c r="T60" s="19"/>
      <c r="U60" s="19"/>
      <c r="V60" s="19"/>
      <c r="W60" s="19">
        <f t="shared" si="50"/>
        <v>0</v>
      </c>
      <c r="X60" s="19">
        <f t="shared" si="50"/>
        <v>399.99999999999994</v>
      </c>
      <c r="Y60" s="19">
        <f t="shared" si="50"/>
        <v>399.99999999999994</v>
      </c>
      <c r="Z60" s="19">
        <f t="shared" si="50"/>
        <v>399.99999999999994</v>
      </c>
      <c r="AA60" s="19">
        <f t="shared" si="50"/>
        <v>399.99999999999994</v>
      </c>
      <c r="AB60" s="20">
        <f t="shared" si="61"/>
        <v>3599.9999999999995</v>
      </c>
    </row>
    <row r="61" spans="1:29" s="39" customFormat="1" outlineLevel="1" x14ac:dyDescent="0.3">
      <c r="Q61" s="64" t="s">
        <v>99</v>
      </c>
      <c r="R61" s="61">
        <f>SUM(R54:R60)</f>
        <v>116368</v>
      </c>
      <c r="S61" s="61">
        <f t="shared" ref="S61:AB61" si="63">SUM(S54:S60)</f>
        <v>0</v>
      </c>
      <c r="T61" s="61">
        <f t="shared" si="63"/>
        <v>0</v>
      </c>
      <c r="U61" s="61">
        <f t="shared" si="63"/>
        <v>0</v>
      </c>
      <c r="V61" s="61">
        <f t="shared" si="63"/>
        <v>0</v>
      </c>
      <c r="W61" s="61">
        <f t="shared" si="63"/>
        <v>257666.66666666666</v>
      </c>
      <c r="X61" s="61">
        <f t="shared" si="63"/>
        <v>280930.66666666663</v>
      </c>
      <c r="Y61" s="61">
        <f t="shared" si="63"/>
        <v>280930.66666666663</v>
      </c>
      <c r="Z61" s="61">
        <f t="shared" si="63"/>
        <v>280930.66666666663</v>
      </c>
      <c r="AA61" s="61">
        <f t="shared" si="63"/>
        <v>280930.66666666663</v>
      </c>
      <c r="AB61" s="62">
        <f t="shared" si="63"/>
        <v>1497757.3333333333</v>
      </c>
    </row>
    <row r="62" spans="1:29" ht="15" outlineLevel="1" thickBot="1" x14ac:dyDescent="0.35"/>
    <row r="63" spans="1:29" ht="34.5" customHeight="1" outlineLevel="1" thickBot="1" x14ac:dyDescent="0.35">
      <c r="A63" s="48" t="s">
        <v>10</v>
      </c>
      <c r="C63" s="11" t="s">
        <v>63</v>
      </c>
      <c r="D63" s="11" t="s">
        <v>22</v>
      </c>
      <c r="E63" s="11" t="s">
        <v>62</v>
      </c>
      <c r="F63" s="11" t="s">
        <v>23</v>
      </c>
      <c r="G63" s="11" t="s">
        <v>64</v>
      </c>
      <c r="H63" s="11" t="s">
        <v>93</v>
      </c>
      <c r="I63" s="83" t="s">
        <v>94</v>
      </c>
      <c r="J63" s="83" t="s">
        <v>35</v>
      </c>
      <c r="K63" s="83" t="s">
        <v>33</v>
      </c>
      <c r="L63" s="83" t="s">
        <v>34</v>
      </c>
      <c r="O63" s="5" t="s">
        <v>96</v>
      </c>
      <c r="P63" s="11" t="s">
        <v>64</v>
      </c>
      <c r="Q63" s="10" t="s">
        <v>65</v>
      </c>
      <c r="R63" s="53">
        <v>1</v>
      </c>
      <c r="S63" s="54">
        <v>2</v>
      </c>
      <c r="T63" s="54">
        <v>3</v>
      </c>
      <c r="U63" s="54">
        <v>4</v>
      </c>
      <c r="V63" s="55">
        <v>5</v>
      </c>
      <c r="W63" s="53">
        <v>1</v>
      </c>
      <c r="X63" s="54">
        <v>2</v>
      </c>
      <c r="Y63" s="54">
        <v>3</v>
      </c>
      <c r="Z63" s="54">
        <v>4</v>
      </c>
      <c r="AA63" s="55">
        <v>5</v>
      </c>
      <c r="AB63" s="57" t="s">
        <v>20</v>
      </c>
      <c r="AC63" s="10"/>
    </row>
    <row r="64" spans="1:29" outlineLevel="2" x14ac:dyDescent="0.3">
      <c r="A64" s="24" t="str">
        <f t="shared" ref="A64:A70" si="64">A24</f>
        <v>OS</v>
      </c>
      <c r="B64" s="24"/>
      <c r="C64" s="27">
        <f t="shared" ref="C64:F70" si="65">C24</f>
        <v>0</v>
      </c>
      <c r="D64" s="27">
        <f t="shared" si="65"/>
        <v>6000</v>
      </c>
      <c r="E64" s="28">
        <f t="shared" si="65"/>
        <v>1</v>
      </c>
      <c r="F64" s="29">
        <f t="shared" si="65"/>
        <v>0.2</v>
      </c>
      <c r="G64" s="87" t="str">
        <f>G54</f>
        <v>core</v>
      </c>
      <c r="H64" s="87" t="str">
        <f>H54</f>
        <v>core</v>
      </c>
      <c r="I64" s="87">
        <f>I54</f>
        <v>1</v>
      </c>
      <c r="J64" s="36">
        <f>$O$14</f>
        <v>0</v>
      </c>
      <c r="K64" s="36">
        <f>$P$14</f>
        <v>0</v>
      </c>
      <c r="L64" s="36">
        <f>$Q$14</f>
        <v>0</v>
      </c>
      <c r="O64">
        <f>_xlfn.XLOOKUP($H64,$J$23:$L$23,$J64:$L64)</f>
        <v>0</v>
      </c>
      <c r="P64" s="10" t="s">
        <v>33</v>
      </c>
      <c r="Q64" s="86">
        <f>I64*O64</f>
        <v>0</v>
      </c>
      <c r="R64" s="19">
        <f t="shared" ref="R64:R70" si="66">$Q64*$C64*(1-$F64)</f>
        <v>0</v>
      </c>
      <c r="S64" s="19"/>
      <c r="T64" s="19"/>
      <c r="U64" s="19"/>
      <c r="V64" s="19"/>
      <c r="W64" s="19">
        <f t="shared" ref="W64:AA70" si="67">IF(W$9&lt;$E64,0,$Q64*$D64)*(1-$F64)</f>
        <v>0</v>
      </c>
      <c r="X64" s="19">
        <f t="shared" si="67"/>
        <v>0</v>
      </c>
      <c r="Y64" s="19">
        <f t="shared" si="67"/>
        <v>0</v>
      </c>
      <c r="Z64" s="19">
        <f t="shared" si="67"/>
        <v>0</v>
      </c>
      <c r="AA64" s="19">
        <f t="shared" si="67"/>
        <v>0</v>
      </c>
      <c r="AB64" s="20">
        <f>SUM(R64:AA64)</f>
        <v>0</v>
      </c>
    </row>
    <row r="65" spans="1:29" outlineLevel="2" x14ac:dyDescent="0.3">
      <c r="A65" s="24" t="str">
        <f t="shared" si="64"/>
        <v>VM</v>
      </c>
      <c r="B65" s="24"/>
      <c r="C65" s="27">
        <f t="shared" si="65"/>
        <v>0</v>
      </c>
      <c r="D65" s="27">
        <f t="shared" si="65"/>
        <v>0</v>
      </c>
      <c r="E65" s="28">
        <f t="shared" si="65"/>
        <v>2</v>
      </c>
      <c r="F65" s="29">
        <f t="shared" si="65"/>
        <v>0.2</v>
      </c>
      <c r="G65" s="87" t="str">
        <f t="shared" ref="G65:I65" si="68">G55</f>
        <v>core</v>
      </c>
      <c r="H65" s="87" t="str">
        <f t="shared" si="68"/>
        <v>core</v>
      </c>
      <c r="I65" s="87">
        <f t="shared" si="68"/>
        <v>1</v>
      </c>
      <c r="J65" s="1">
        <f>J64</f>
        <v>0</v>
      </c>
      <c r="K65" s="1">
        <f t="shared" ref="K65:L70" si="69">K64</f>
        <v>0</v>
      </c>
      <c r="L65" s="1">
        <f t="shared" si="69"/>
        <v>0</v>
      </c>
      <c r="O65">
        <f t="shared" ref="O65:O70" si="70">_xlfn.XLOOKUP($H65,$J$23:$L$23,$J65:$L65)</f>
        <v>0</v>
      </c>
      <c r="P65" s="10" t="s">
        <v>33</v>
      </c>
      <c r="Q65" s="86">
        <f t="shared" ref="Q65:Q70" si="71">I65*O65</f>
        <v>0</v>
      </c>
      <c r="R65" s="19">
        <f t="shared" si="66"/>
        <v>0</v>
      </c>
      <c r="S65" s="19"/>
      <c r="T65" s="19"/>
      <c r="U65" s="19"/>
      <c r="V65" s="19"/>
      <c r="W65" s="19">
        <f t="shared" si="67"/>
        <v>0</v>
      </c>
      <c r="X65" s="19">
        <f t="shared" si="67"/>
        <v>0</v>
      </c>
      <c r="Y65" s="19">
        <f t="shared" si="67"/>
        <v>0</v>
      </c>
      <c r="Z65" s="19">
        <f t="shared" si="67"/>
        <v>0</v>
      </c>
      <c r="AA65" s="19">
        <f t="shared" si="67"/>
        <v>0</v>
      </c>
      <c r="AB65" s="20">
        <f t="shared" ref="AB65:AB66" si="72">SUM(R65:AA65)</f>
        <v>0</v>
      </c>
    </row>
    <row r="66" spans="1:29" outlineLevel="2" x14ac:dyDescent="0.3">
      <c r="A66" s="24" t="str">
        <f t="shared" si="64"/>
        <v>Application Server</v>
      </c>
      <c r="B66" s="24"/>
      <c r="C66" s="27">
        <f t="shared" si="65"/>
        <v>46.82</v>
      </c>
      <c r="D66" s="27">
        <f t="shared" si="65"/>
        <v>9.36</v>
      </c>
      <c r="E66" s="28">
        <f t="shared" si="65"/>
        <v>2</v>
      </c>
      <c r="F66" s="29">
        <f t="shared" si="65"/>
        <v>0.5</v>
      </c>
      <c r="G66" s="87" t="str">
        <f t="shared" ref="G66:I66" si="73">G56</f>
        <v>PVU</v>
      </c>
      <c r="H66" s="87" t="str">
        <f t="shared" si="73"/>
        <v>core</v>
      </c>
      <c r="I66" s="87">
        <f t="shared" si="73"/>
        <v>120</v>
      </c>
      <c r="J66" s="1">
        <f t="shared" ref="J66:J70" si="74">J65</f>
        <v>0</v>
      </c>
      <c r="K66" s="1">
        <f t="shared" si="69"/>
        <v>0</v>
      </c>
      <c r="L66" s="1">
        <f t="shared" si="69"/>
        <v>0</v>
      </c>
      <c r="O66">
        <f t="shared" si="70"/>
        <v>0</v>
      </c>
      <c r="P66" s="10" t="s">
        <v>95</v>
      </c>
      <c r="Q66" s="86">
        <f t="shared" si="71"/>
        <v>0</v>
      </c>
      <c r="R66" s="19">
        <f t="shared" si="66"/>
        <v>0</v>
      </c>
      <c r="S66" s="19"/>
      <c r="T66" s="19"/>
      <c r="U66" s="19"/>
      <c r="V66" s="19"/>
      <c r="W66" s="19">
        <f t="shared" si="67"/>
        <v>0</v>
      </c>
      <c r="X66" s="19">
        <f t="shared" si="67"/>
        <v>0</v>
      </c>
      <c r="Y66" s="19">
        <f t="shared" si="67"/>
        <v>0</v>
      </c>
      <c r="Z66" s="19">
        <f t="shared" si="67"/>
        <v>0</v>
      </c>
      <c r="AA66" s="19">
        <f t="shared" si="67"/>
        <v>0</v>
      </c>
      <c r="AB66" s="20">
        <f t="shared" si="72"/>
        <v>0</v>
      </c>
    </row>
    <row r="67" spans="1:29" outlineLevel="2" x14ac:dyDescent="0.3">
      <c r="A67" s="24" t="str">
        <f t="shared" si="64"/>
        <v>DB</v>
      </c>
      <c r="B67" s="24"/>
      <c r="C67" s="27">
        <f t="shared" si="65"/>
        <v>0</v>
      </c>
      <c r="D67" s="27">
        <f t="shared" si="65"/>
        <v>8500</v>
      </c>
      <c r="E67" s="28">
        <f t="shared" si="65"/>
        <v>1</v>
      </c>
      <c r="F67" s="29">
        <f t="shared" si="65"/>
        <v>0</v>
      </c>
      <c r="G67" s="87" t="str">
        <f t="shared" ref="G67:I67" si="75">G57</f>
        <v>server</v>
      </c>
      <c r="H67" s="87" t="str">
        <f t="shared" si="75"/>
        <v>server</v>
      </c>
      <c r="I67" s="87">
        <f t="shared" si="75"/>
        <v>1</v>
      </c>
      <c r="J67" s="1">
        <f t="shared" si="74"/>
        <v>0</v>
      </c>
      <c r="K67" s="1">
        <f t="shared" si="69"/>
        <v>0</v>
      </c>
      <c r="L67" s="1">
        <f t="shared" si="69"/>
        <v>0</v>
      </c>
      <c r="O67">
        <f t="shared" si="70"/>
        <v>0</v>
      </c>
      <c r="P67" s="10" t="s">
        <v>34</v>
      </c>
      <c r="Q67" s="86">
        <f t="shared" si="71"/>
        <v>0</v>
      </c>
      <c r="R67" s="19">
        <f t="shared" si="66"/>
        <v>0</v>
      </c>
      <c r="S67" s="19"/>
      <c r="T67" s="19"/>
      <c r="U67" s="19"/>
      <c r="V67" s="19"/>
      <c r="W67" s="19">
        <f t="shared" si="67"/>
        <v>0</v>
      </c>
      <c r="X67" s="19">
        <f t="shared" si="67"/>
        <v>0</v>
      </c>
      <c r="Y67" s="19">
        <f t="shared" si="67"/>
        <v>0</v>
      </c>
      <c r="Z67" s="19">
        <f t="shared" si="67"/>
        <v>0</v>
      </c>
      <c r="AA67" s="19">
        <f t="shared" si="67"/>
        <v>0</v>
      </c>
      <c r="AB67" s="20">
        <f>SUM(R67:AA67)</f>
        <v>0</v>
      </c>
    </row>
    <row r="68" spans="1:29" outlineLevel="2" x14ac:dyDescent="0.3">
      <c r="A68" s="24" t="str">
        <f t="shared" si="64"/>
        <v>Data Replication Tools</v>
      </c>
      <c r="B68" s="24"/>
      <c r="C68" s="27">
        <f t="shared" si="65"/>
        <v>0</v>
      </c>
      <c r="D68" s="27">
        <f t="shared" si="65"/>
        <v>3000</v>
      </c>
      <c r="E68" s="28">
        <f t="shared" si="65"/>
        <v>1</v>
      </c>
      <c r="F68" s="29">
        <f t="shared" si="65"/>
        <v>0.5</v>
      </c>
      <c r="G68" s="87" t="str">
        <f t="shared" ref="G68:I68" si="76">G58</f>
        <v>core</v>
      </c>
      <c r="H68" s="87" t="str">
        <f t="shared" si="76"/>
        <v>core</v>
      </c>
      <c r="I68" s="87">
        <f t="shared" si="76"/>
        <v>1</v>
      </c>
      <c r="J68" s="1">
        <f t="shared" si="74"/>
        <v>0</v>
      </c>
      <c r="K68" s="1">
        <f t="shared" si="69"/>
        <v>0</v>
      </c>
      <c r="L68" s="1">
        <f t="shared" si="69"/>
        <v>0</v>
      </c>
      <c r="O68">
        <f t="shared" si="70"/>
        <v>0</v>
      </c>
      <c r="P68" s="10" t="s">
        <v>34</v>
      </c>
      <c r="Q68" s="86">
        <f t="shared" si="71"/>
        <v>0</v>
      </c>
      <c r="R68" s="19">
        <f t="shared" si="66"/>
        <v>0</v>
      </c>
      <c r="S68" s="19"/>
      <c r="T68" s="19"/>
      <c r="U68" s="19"/>
      <c r="V68" s="19"/>
      <c r="W68" s="19">
        <f t="shared" si="67"/>
        <v>0</v>
      </c>
      <c r="X68" s="19">
        <f t="shared" si="67"/>
        <v>0</v>
      </c>
      <c r="Y68" s="19">
        <f t="shared" si="67"/>
        <v>0</v>
      </c>
      <c r="Z68" s="19">
        <f t="shared" si="67"/>
        <v>0</v>
      </c>
      <c r="AA68" s="19">
        <f t="shared" si="67"/>
        <v>0</v>
      </c>
      <c r="AB68" s="20">
        <f>SUM(R68:AA68)</f>
        <v>0</v>
      </c>
    </row>
    <row r="69" spans="1:29" outlineLevel="2" x14ac:dyDescent="0.3">
      <c r="A69" s="24" t="str">
        <f t="shared" si="64"/>
        <v>Monitoring Tools</v>
      </c>
      <c r="B69" s="24"/>
      <c r="C69" s="27">
        <f t="shared" si="65"/>
        <v>5000</v>
      </c>
      <c r="D69" s="27">
        <f t="shared" si="65"/>
        <v>1000</v>
      </c>
      <c r="E69" s="28">
        <f t="shared" si="65"/>
        <v>2</v>
      </c>
      <c r="F69" s="29">
        <f t="shared" si="65"/>
        <v>0.4</v>
      </c>
      <c r="G69" s="87" t="str">
        <f t="shared" ref="G69:I69" si="77">G59</f>
        <v>server</v>
      </c>
      <c r="H69" s="87" t="str">
        <f t="shared" si="77"/>
        <v>server</v>
      </c>
      <c r="I69" s="87">
        <f t="shared" si="77"/>
        <v>1</v>
      </c>
      <c r="J69" s="1">
        <f t="shared" si="74"/>
        <v>0</v>
      </c>
      <c r="K69" s="1">
        <f t="shared" si="69"/>
        <v>0</v>
      </c>
      <c r="L69" s="1">
        <f t="shared" si="69"/>
        <v>0</v>
      </c>
      <c r="O69">
        <f t="shared" si="70"/>
        <v>0</v>
      </c>
      <c r="P69" s="10" t="s">
        <v>35</v>
      </c>
      <c r="Q69" s="86">
        <f t="shared" si="71"/>
        <v>0</v>
      </c>
      <c r="R69" s="19">
        <f t="shared" si="66"/>
        <v>0</v>
      </c>
      <c r="S69" s="19"/>
      <c r="T69" s="19"/>
      <c r="U69" s="19"/>
      <c r="V69" s="19"/>
      <c r="W69" s="19">
        <f t="shared" si="67"/>
        <v>0</v>
      </c>
      <c r="X69" s="19">
        <f t="shared" si="67"/>
        <v>0</v>
      </c>
      <c r="Y69" s="19">
        <f t="shared" si="67"/>
        <v>0</v>
      </c>
      <c r="Z69" s="19">
        <f t="shared" si="67"/>
        <v>0</v>
      </c>
      <c r="AA69" s="19">
        <f t="shared" si="67"/>
        <v>0</v>
      </c>
      <c r="AB69" s="20">
        <f t="shared" ref="AB69:AB70" si="78">SUM(R69:AA69)</f>
        <v>0</v>
      </c>
    </row>
    <row r="70" spans="1:29" outlineLevel="2" x14ac:dyDescent="0.3">
      <c r="A70" s="24" t="str">
        <f t="shared" si="64"/>
        <v>Security Tools</v>
      </c>
      <c r="B70" s="24"/>
      <c r="C70" s="27">
        <f t="shared" si="65"/>
        <v>5000</v>
      </c>
      <c r="D70" s="27">
        <f t="shared" si="65"/>
        <v>1000</v>
      </c>
      <c r="E70" s="28">
        <f t="shared" si="65"/>
        <v>2</v>
      </c>
      <c r="F70" s="29">
        <f t="shared" si="65"/>
        <v>0.4</v>
      </c>
      <c r="G70" s="87" t="str">
        <f t="shared" ref="G70:I70" si="79">G60</f>
        <v>server</v>
      </c>
      <c r="H70" s="87" t="str">
        <f t="shared" si="79"/>
        <v>server</v>
      </c>
      <c r="I70" s="87">
        <f t="shared" si="79"/>
        <v>1</v>
      </c>
      <c r="J70" s="1">
        <f t="shared" si="74"/>
        <v>0</v>
      </c>
      <c r="K70" s="1">
        <f t="shared" si="69"/>
        <v>0</v>
      </c>
      <c r="L70" s="1">
        <f t="shared" si="69"/>
        <v>0</v>
      </c>
      <c r="O70">
        <f t="shared" si="70"/>
        <v>0</v>
      </c>
      <c r="P70" s="10" t="s">
        <v>35</v>
      </c>
      <c r="Q70" s="86">
        <f t="shared" si="71"/>
        <v>0</v>
      </c>
      <c r="R70" s="19">
        <f t="shared" si="66"/>
        <v>0</v>
      </c>
      <c r="S70" s="19"/>
      <c r="T70" s="19"/>
      <c r="U70" s="19"/>
      <c r="V70" s="19"/>
      <c r="W70" s="19">
        <f t="shared" si="67"/>
        <v>0</v>
      </c>
      <c r="X70" s="19">
        <f t="shared" si="67"/>
        <v>0</v>
      </c>
      <c r="Y70" s="19">
        <f t="shared" si="67"/>
        <v>0</v>
      </c>
      <c r="Z70" s="19">
        <f t="shared" si="67"/>
        <v>0</v>
      </c>
      <c r="AA70" s="19">
        <f t="shared" si="67"/>
        <v>0</v>
      </c>
      <c r="AB70" s="20">
        <f t="shared" si="78"/>
        <v>0</v>
      </c>
    </row>
    <row r="71" spans="1:29" s="39" customFormat="1" outlineLevel="1" x14ac:dyDescent="0.3">
      <c r="Q71" s="64" t="s">
        <v>10</v>
      </c>
      <c r="R71" s="61">
        <f>SUM(R64:R70)</f>
        <v>0</v>
      </c>
      <c r="S71" s="61">
        <f t="shared" ref="S71:AB71" si="80">SUM(S64:S70)</f>
        <v>0</v>
      </c>
      <c r="T71" s="61">
        <f t="shared" si="80"/>
        <v>0</v>
      </c>
      <c r="U71" s="61">
        <f t="shared" si="80"/>
        <v>0</v>
      </c>
      <c r="V71" s="61">
        <f t="shared" si="80"/>
        <v>0</v>
      </c>
      <c r="W71" s="61">
        <f t="shared" si="80"/>
        <v>0</v>
      </c>
      <c r="X71" s="61">
        <f t="shared" si="80"/>
        <v>0</v>
      </c>
      <c r="Y71" s="61">
        <f t="shared" si="80"/>
        <v>0</v>
      </c>
      <c r="Z71" s="61">
        <f t="shared" si="80"/>
        <v>0</v>
      </c>
      <c r="AA71" s="61">
        <f t="shared" si="80"/>
        <v>0</v>
      </c>
      <c r="AB71" s="62">
        <f t="shared" si="80"/>
        <v>0</v>
      </c>
    </row>
    <row r="72" spans="1:29" outlineLevel="1" x14ac:dyDescent="0.3"/>
    <row r="73" spans="1:29" x14ac:dyDescent="0.3">
      <c r="O73" s="64" t="s">
        <v>71</v>
      </c>
      <c r="P73" s="8"/>
      <c r="R73" s="62">
        <f>R31+R41+R51+R61+R71</f>
        <v>349104</v>
      </c>
      <c r="S73" s="62">
        <f t="shared" ref="S73:AB73" si="81">S31+S41+S51+S61+S71</f>
        <v>0</v>
      </c>
      <c r="T73" s="62">
        <f t="shared" si="81"/>
        <v>0</v>
      </c>
      <c r="U73" s="62">
        <f t="shared" si="81"/>
        <v>0</v>
      </c>
      <c r="V73" s="62">
        <f t="shared" si="81"/>
        <v>0</v>
      </c>
      <c r="W73" s="62">
        <f t="shared" si="81"/>
        <v>773000</v>
      </c>
      <c r="X73" s="62">
        <f t="shared" si="81"/>
        <v>842791.99999999988</v>
      </c>
      <c r="Y73" s="62">
        <f t="shared" si="81"/>
        <v>842791.99999999988</v>
      </c>
      <c r="Z73" s="62">
        <f t="shared" si="81"/>
        <v>842791.99999999988</v>
      </c>
      <c r="AA73" s="62">
        <f t="shared" si="81"/>
        <v>842791.99999999988</v>
      </c>
      <c r="AB73" s="62">
        <f t="shared" si="81"/>
        <v>4493272</v>
      </c>
      <c r="AC73" s="5" t="s">
        <v>20</v>
      </c>
    </row>
    <row r="75" spans="1:29" s="60" customFormat="1" ht="28.5" customHeight="1" thickBot="1" x14ac:dyDescent="0.35">
      <c r="A75" s="58" t="s">
        <v>3</v>
      </c>
      <c r="B75" s="58"/>
      <c r="R75" s="59"/>
      <c r="S75" s="59"/>
      <c r="T75" s="59"/>
      <c r="U75" s="59"/>
      <c r="V75" s="59"/>
      <c r="W75" s="59"/>
      <c r="X75" s="59"/>
      <c r="Y75" s="59"/>
      <c r="Z75" s="59"/>
      <c r="AA75" s="59"/>
      <c r="AB75" s="59"/>
      <c r="AC75" s="59"/>
    </row>
    <row r="76" spans="1:29" ht="29.4" outlineLevel="1" thickBot="1" x14ac:dyDescent="0.35">
      <c r="A76" s="5" t="s">
        <v>3</v>
      </c>
      <c r="B76" s="5"/>
      <c r="N76" s="10"/>
      <c r="O76" s="18" t="s">
        <v>18</v>
      </c>
      <c r="P76" s="7" t="s">
        <v>77</v>
      </c>
      <c r="R76" s="53">
        <v>1</v>
      </c>
      <c r="S76" s="54">
        <v>2</v>
      </c>
      <c r="T76" s="54">
        <v>3</v>
      </c>
      <c r="U76" s="54">
        <v>4</v>
      </c>
      <c r="V76" s="55">
        <v>5</v>
      </c>
      <c r="W76" s="53">
        <v>1</v>
      </c>
      <c r="X76" s="54">
        <v>2</v>
      </c>
      <c r="Y76" s="54">
        <v>3</v>
      </c>
      <c r="Z76" s="54">
        <v>4</v>
      </c>
      <c r="AA76" s="55">
        <v>5</v>
      </c>
      <c r="AB76" s="57" t="s">
        <v>20</v>
      </c>
    </row>
    <row r="77" spans="1:29" outlineLevel="1" x14ac:dyDescent="0.3">
      <c r="A77" t="s">
        <v>79</v>
      </c>
      <c r="D77" s="13">
        <v>10</v>
      </c>
      <c r="E77" t="s">
        <v>72</v>
      </c>
      <c r="N77" s="14" t="s">
        <v>6</v>
      </c>
      <c r="O77" s="33">
        <f>$O$10</f>
        <v>0.66666666666666663</v>
      </c>
      <c r="P77" s="9">
        <f>$O77/$D$77</f>
        <v>6.6666666666666666E-2</v>
      </c>
      <c r="R77" s="19"/>
      <c r="S77" s="19"/>
      <c r="T77" s="19"/>
      <c r="U77" s="19"/>
      <c r="V77" s="19"/>
      <c r="W77" s="19">
        <f>$D$78*$P77</f>
        <v>6666.666666666667</v>
      </c>
      <c r="X77" s="19">
        <f t="shared" ref="X77:AA81" si="82">$D$78*$P77</f>
        <v>6666.666666666667</v>
      </c>
      <c r="Y77" s="19">
        <f t="shared" si="82"/>
        <v>6666.666666666667</v>
      </c>
      <c r="Z77" s="19">
        <f t="shared" si="82"/>
        <v>6666.666666666667</v>
      </c>
      <c r="AA77" s="19">
        <f t="shared" si="82"/>
        <v>6666.666666666667</v>
      </c>
      <c r="AB77" s="20">
        <f>SUM(R77:AA77)</f>
        <v>33333.333333333336</v>
      </c>
      <c r="AC77" s="1" t="s">
        <v>6</v>
      </c>
    </row>
    <row r="78" spans="1:29" outlineLevel="1" x14ac:dyDescent="0.3">
      <c r="A78" t="s">
        <v>36</v>
      </c>
      <c r="D78" s="26">
        <v>100000</v>
      </c>
      <c r="N78" s="14" t="s">
        <v>7</v>
      </c>
      <c r="O78" s="33">
        <f>$O$11</f>
        <v>0.33333333333333331</v>
      </c>
      <c r="P78" s="9">
        <f>$O78/$D$77</f>
        <v>3.3333333333333333E-2</v>
      </c>
      <c r="R78" s="19"/>
      <c r="S78" s="19"/>
      <c r="T78" s="19"/>
      <c r="U78" s="19"/>
      <c r="V78" s="19"/>
      <c r="W78" s="19">
        <f t="shared" ref="W78:W81" si="83">$D$78*$P78</f>
        <v>3333.3333333333335</v>
      </c>
      <c r="X78" s="19">
        <f t="shared" si="82"/>
        <v>3333.3333333333335</v>
      </c>
      <c r="Y78" s="19">
        <f t="shared" si="82"/>
        <v>3333.3333333333335</v>
      </c>
      <c r="Z78" s="19">
        <f t="shared" si="82"/>
        <v>3333.3333333333335</v>
      </c>
      <c r="AA78" s="19">
        <f t="shared" si="82"/>
        <v>3333.3333333333335</v>
      </c>
      <c r="AB78" s="20">
        <f t="shared" ref="AB78:AB81" si="84">SUM(R78:AA78)</f>
        <v>16666.666666666668</v>
      </c>
      <c r="AC78" s="1" t="s">
        <v>7</v>
      </c>
    </row>
    <row r="79" spans="1:29" outlineLevel="1" x14ac:dyDescent="0.3">
      <c r="J79" s="63"/>
      <c r="N79" s="14" t="s">
        <v>8</v>
      </c>
      <c r="O79" s="33">
        <f>$O$12</f>
        <v>0.33333333333333331</v>
      </c>
      <c r="P79" s="9">
        <f>$O79/$D$77</f>
        <v>3.3333333333333333E-2</v>
      </c>
      <c r="R79" s="19"/>
      <c r="S79" s="19"/>
      <c r="T79" s="19"/>
      <c r="U79" s="19"/>
      <c r="V79" s="19"/>
      <c r="W79" s="19">
        <f t="shared" si="83"/>
        <v>3333.3333333333335</v>
      </c>
      <c r="X79" s="19">
        <f t="shared" si="82"/>
        <v>3333.3333333333335</v>
      </c>
      <c r="Y79" s="19">
        <f t="shared" si="82"/>
        <v>3333.3333333333335</v>
      </c>
      <c r="Z79" s="19">
        <f t="shared" si="82"/>
        <v>3333.3333333333335</v>
      </c>
      <c r="AA79" s="19">
        <f t="shared" si="82"/>
        <v>3333.3333333333335</v>
      </c>
      <c r="AB79" s="20">
        <f t="shared" si="84"/>
        <v>16666.666666666668</v>
      </c>
      <c r="AC79" s="1" t="s">
        <v>8</v>
      </c>
    </row>
    <row r="80" spans="1:29" outlineLevel="1" x14ac:dyDescent="0.3">
      <c r="N80" s="14" t="s">
        <v>9</v>
      </c>
      <c r="O80" s="33">
        <f>$O$13</f>
        <v>0.66666666666666663</v>
      </c>
      <c r="P80" s="9">
        <f>$O80/$D$77</f>
        <v>6.6666666666666666E-2</v>
      </c>
      <c r="R80" s="19"/>
      <c r="S80" s="19"/>
      <c r="T80" s="19"/>
      <c r="U80" s="19"/>
      <c r="V80" s="19"/>
      <c r="W80" s="19">
        <f t="shared" si="83"/>
        <v>6666.666666666667</v>
      </c>
      <c r="X80" s="19">
        <f t="shared" si="82"/>
        <v>6666.666666666667</v>
      </c>
      <c r="Y80" s="19">
        <f t="shared" si="82"/>
        <v>6666.666666666667</v>
      </c>
      <c r="Z80" s="19">
        <f t="shared" si="82"/>
        <v>6666.666666666667</v>
      </c>
      <c r="AA80" s="19">
        <f t="shared" si="82"/>
        <v>6666.666666666667</v>
      </c>
      <c r="AB80" s="20">
        <f t="shared" si="84"/>
        <v>33333.333333333336</v>
      </c>
      <c r="AC80" s="1" t="s">
        <v>9</v>
      </c>
    </row>
    <row r="81" spans="1:29" outlineLevel="1" x14ac:dyDescent="0.3">
      <c r="N81" s="14" t="s">
        <v>10</v>
      </c>
      <c r="O81" s="33">
        <f>$O$14</f>
        <v>0</v>
      </c>
      <c r="P81" s="9">
        <f>$O81/$D$77</f>
        <v>0</v>
      </c>
      <c r="R81" s="19"/>
      <c r="S81" s="19"/>
      <c r="T81" s="19"/>
      <c r="U81" s="19"/>
      <c r="V81" s="19"/>
      <c r="W81" s="19">
        <f t="shared" si="83"/>
        <v>0</v>
      </c>
      <c r="X81" s="19">
        <f t="shared" si="82"/>
        <v>0</v>
      </c>
      <c r="Y81" s="19">
        <f t="shared" si="82"/>
        <v>0</v>
      </c>
      <c r="Z81" s="19">
        <f t="shared" si="82"/>
        <v>0</v>
      </c>
      <c r="AA81" s="19">
        <f t="shared" si="82"/>
        <v>0</v>
      </c>
      <c r="AB81" s="20">
        <f t="shared" si="84"/>
        <v>0</v>
      </c>
      <c r="AC81" s="1" t="s">
        <v>10</v>
      </c>
    </row>
    <row r="82" spans="1:29" x14ac:dyDescent="0.3">
      <c r="N82" s="14"/>
      <c r="O82" s="64" t="s">
        <v>78</v>
      </c>
      <c r="P82" s="50">
        <f>SUM(P77:P81)</f>
        <v>0.2</v>
      </c>
      <c r="R82" s="62">
        <f>SUM(R77:R81)</f>
        <v>0</v>
      </c>
      <c r="S82" s="62">
        <f t="shared" ref="S82:AB82" si="85">SUM(S77:S81)</f>
        <v>0</v>
      </c>
      <c r="T82" s="62">
        <f t="shared" si="85"/>
        <v>0</v>
      </c>
      <c r="U82" s="62">
        <f t="shared" si="85"/>
        <v>0</v>
      </c>
      <c r="V82" s="62">
        <f t="shared" si="85"/>
        <v>0</v>
      </c>
      <c r="W82" s="62">
        <f t="shared" si="85"/>
        <v>20000</v>
      </c>
      <c r="X82" s="62">
        <f t="shared" si="85"/>
        <v>20000</v>
      </c>
      <c r="Y82" s="62">
        <f t="shared" si="85"/>
        <v>20000</v>
      </c>
      <c r="Z82" s="62">
        <f t="shared" si="85"/>
        <v>20000</v>
      </c>
      <c r="AA82" s="62">
        <f t="shared" si="85"/>
        <v>20000</v>
      </c>
      <c r="AB82" s="62">
        <f t="shared" si="85"/>
        <v>100000</v>
      </c>
      <c r="AC82" s="5" t="s">
        <v>20</v>
      </c>
    </row>
    <row r="84" spans="1:29" s="60" customFormat="1" ht="28.5" customHeight="1" thickBot="1" x14ac:dyDescent="0.35">
      <c r="A84" s="58" t="s">
        <v>4</v>
      </c>
      <c r="B84" s="58"/>
      <c r="R84" s="59"/>
      <c r="S84" s="59"/>
      <c r="T84" s="59"/>
      <c r="U84" s="59"/>
      <c r="V84" s="59"/>
      <c r="W84" s="59"/>
      <c r="X84" s="59"/>
      <c r="Y84" s="59"/>
      <c r="Z84" s="59"/>
      <c r="AA84" s="59"/>
      <c r="AB84" s="59"/>
      <c r="AC84" s="59"/>
    </row>
    <row r="85" spans="1:29" ht="15" outlineLevel="1" thickBot="1" x14ac:dyDescent="0.35">
      <c r="A85" s="5" t="s">
        <v>4</v>
      </c>
      <c r="B85" s="5"/>
      <c r="O85" s="10"/>
      <c r="P85" s="18" t="s">
        <v>18</v>
      </c>
      <c r="R85" s="53">
        <v>1</v>
      </c>
      <c r="S85" s="54">
        <v>2</v>
      </c>
      <c r="T85" s="54">
        <v>3</v>
      </c>
      <c r="U85" s="54">
        <v>4</v>
      </c>
      <c r="V85" s="55">
        <v>5</v>
      </c>
      <c r="W85" s="53">
        <v>1</v>
      </c>
      <c r="X85" s="54">
        <v>2</v>
      </c>
      <c r="Y85" s="54">
        <v>3</v>
      </c>
      <c r="Z85" s="54">
        <v>4</v>
      </c>
      <c r="AA85" s="55">
        <v>5</v>
      </c>
      <c r="AB85" s="57" t="s">
        <v>20</v>
      </c>
    </row>
    <row r="86" spans="1:29" outlineLevel="1" x14ac:dyDescent="0.3">
      <c r="A86" t="s">
        <v>37</v>
      </c>
      <c r="D86" s="26">
        <v>14000</v>
      </c>
      <c r="O86" s="14" t="s">
        <v>6</v>
      </c>
      <c r="P86" s="33">
        <f>$O$10</f>
        <v>0.66666666666666663</v>
      </c>
      <c r="R86" s="19">
        <f>$P86*($D$86*(1-$D$87))</f>
        <v>6533.333333333333</v>
      </c>
      <c r="S86" s="19"/>
      <c r="T86" s="19"/>
      <c r="U86" s="19"/>
      <c r="V86" s="19"/>
      <c r="W86" s="19">
        <f t="shared" ref="W86:AA90" si="86">IF(W$85&gt;=$D$90,$P86*($D$89*(1-$D$87)),0)</f>
        <v>0</v>
      </c>
      <c r="X86" s="19">
        <f t="shared" si="86"/>
        <v>653.33333333333326</v>
      </c>
      <c r="Y86" s="19">
        <f t="shared" si="86"/>
        <v>653.33333333333326</v>
      </c>
      <c r="Z86" s="19">
        <f t="shared" si="86"/>
        <v>653.33333333333326</v>
      </c>
      <c r="AA86" s="19">
        <f t="shared" si="86"/>
        <v>653.33333333333326</v>
      </c>
      <c r="AB86" s="20">
        <f>SUM(R86:AA86)</f>
        <v>9146.6666666666661</v>
      </c>
      <c r="AC86" s="1" t="s">
        <v>6</v>
      </c>
    </row>
    <row r="87" spans="1:29" outlineLevel="1" x14ac:dyDescent="0.3">
      <c r="A87" t="s">
        <v>73</v>
      </c>
      <c r="D87" s="17">
        <v>0.3</v>
      </c>
      <c r="O87" s="14" t="s">
        <v>7</v>
      </c>
      <c r="P87" s="33">
        <f>$O$11</f>
        <v>0.33333333333333331</v>
      </c>
      <c r="R87" s="19">
        <f>$P87*($D$86*(1-$D$87))</f>
        <v>3266.6666666666665</v>
      </c>
      <c r="S87" s="19"/>
      <c r="T87" s="19"/>
      <c r="U87" s="19"/>
      <c r="V87" s="19"/>
      <c r="W87" s="19">
        <f t="shared" si="86"/>
        <v>0</v>
      </c>
      <c r="X87" s="19">
        <f t="shared" si="86"/>
        <v>326.66666666666663</v>
      </c>
      <c r="Y87" s="19">
        <f t="shared" si="86"/>
        <v>326.66666666666663</v>
      </c>
      <c r="Z87" s="19">
        <f t="shared" si="86"/>
        <v>326.66666666666663</v>
      </c>
      <c r="AA87" s="19">
        <f t="shared" si="86"/>
        <v>326.66666666666663</v>
      </c>
      <c r="AB87" s="20">
        <f t="shared" ref="AB87:AB90" si="87">SUM(R87:AA87)</f>
        <v>4573.333333333333</v>
      </c>
      <c r="AC87" s="1" t="s">
        <v>7</v>
      </c>
    </row>
    <row r="88" spans="1:29" outlineLevel="1" x14ac:dyDescent="0.3">
      <c r="A88" t="s">
        <v>74</v>
      </c>
      <c r="D88" s="17">
        <v>0.1</v>
      </c>
      <c r="J88" s="63"/>
      <c r="O88" s="14" t="s">
        <v>8</v>
      </c>
      <c r="P88" s="33">
        <f>$O$12</f>
        <v>0.33333333333333331</v>
      </c>
      <c r="R88" s="19">
        <f>$P88*($D$86*(1-$D$87))</f>
        <v>3266.6666666666665</v>
      </c>
      <c r="S88" s="19"/>
      <c r="T88" s="19"/>
      <c r="U88" s="19"/>
      <c r="V88" s="19"/>
      <c r="W88" s="19">
        <f t="shared" si="86"/>
        <v>0</v>
      </c>
      <c r="X88" s="19">
        <f t="shared" si="86"/>
        <v>326.66666666666663</v>
      </c>
      <c r="Y88" s="19">
        <f t="shared" si="86"/>
        <v>326.66666666666663</v>
      </c>
      <c r="Z88" s="19">
        <f t="shared" si="86"/>
        <v>326.66666666666663</v>
      </c>
      <c r="AA88" s="19">
        <f t="shared" si="86"/>
        <v>326.66666666666663</v>
      </c>
      <c r="AB88" s="20">
        <f t="shared" si="87"/>
        <v>4573.333333333333</v>
      </c>
      <c r="AC88" s="1" t="s">
        <v>8</v>
      </c>
    </row>
    <row r="89" spans="1:29" outlineLevel="1" x14ac:dyDescent="0.3">
      <c r="A89" t="s">
        <v>75</v>
      </c>
      <c r="D89" s="19">
        <f>D86*D88</f>
        <v>1400</v>
      </c>
      <c r="O89" s="14" t="s">
        <v>9</v>
      </c>
      <c r="P89" s="33">
        <f>$O$13</f>
        <v>0.66666666666666663</v>
      </c>
      <c r="R89" s="19">
        <f>$P89*($D$86*(1-$D$87))</f>
        <v>6533.333333333333</v>
      </c>
      <c r="S89" s="19"/>
      <c r="T89" s="19"/>
      <c r="U89" s="19"/>
      <c r="V89" s="19"/>
      <c r="W89" s="19">
        <f t="shared" si="86"/>
        <v>0</v>
      </c>
      <c r="X89" s="19">
        <f t="shared" si="86"/>
        <v>653.33333333333326</v>
      </c>
      <c r="Y89" s="19">
        <f t="shared" si="86"/>
        <v>653.33333333333326</v>
      </c>
      <c r="Z89" s="19">
        <f t="shared" si="86"/>
        <v>653.33333333333326</v>
      </c>
      <c r="AA89" s="19">
        <f t="shared" si="86"/>
        <v>653.33333333333326</v>
      </c>
      <c r="AB89" s="20">
        <f t="shared" si="87"/>
        <v>9146.6666666666661</v>
      </c>
      <c r="AC89" s="1" t="s">
        <v>9</v>
      </c>
    </row>
    <row r="90" spans="1:29" outlineLevel="1" x14ac:dyDescent="0.3">
      <c r="A90" t="s">
        <v>16</v>
      </c>
      <c r="D90" s="13">
        <v>2</v>
      </c>
      <c r="O90" s="14" t="s">
        <v>10</v>
      </c>
      <c r="P90" s="33">
        <f>$O$14</f>
        <v>0</v>
      </c>
      <c r="R90" s="19">
        <f>$P90*($D$86*(1-$D$87))</f>
        <v>0</v>
      </c>
      <c r="S90" s="19"/>
      <c r="T90" s="19"/>
      <c r="U90" s="19"/>
      <c r="V90" s="19"/>
      <c r="W90" s="19">
        <f t="shared" si="86"/>
        <v>0</v>
      </c>
      <c r="X90" s="19">
        <f t="shared" si="86"/>
        <v>0</v>
      </c>
      <c r="Y90" s="19">
        <f t="shared" si="86"/>
        <v>0</v>
      </c>
      <c r="Z90" s="19">
        <f t="shared" si="86"/>
        <v>0</v>
      </c>
      <c r="AA90" s="19">
        <f t="shared" si="86"/>
        <v>0</v>
      </c>
      <c r="AB90" s="20">
        <f t="shared" si="87"/>
        <v>0</v>
      </c>
      <c r="AC90" s="1" t="s">
        <v>10</v>
      </c>
    </row>
    <row r="91" spans="1:29" x14ac:dyDescent="0.3">
      <c r="O91" s="64" t="s">
        <v>76</v>
      </c>
      <c r="P91" s="50">
        <f>SUM(P86:P90)</f>
        <v>2</v>
      </c>
      <c r="R91" s="62">
        <f>SUM(R86:R90)</f>
        <v>19600</v>
      </c>
      <c r="S91" s="62">
        <f t="shared" ref="S91:AB91" si="88">SUM(S86:S90)</f>
        <v>0</v>
      </c>
      <c r="T91" s="62">
        <f t="shared" si="88"/>
        <v>0</v>
      </c>
      <c r="U91" s="62">
        <f t="shared" si="88"/>
        <v>0</v>
      </c>
      <c r="V91" s="62">
        <f t="shared" si="88"/>
        <v>0</v>
      </c>
      <c r="W91" s="62">
        <f t="shared" si="88"/>
        <v>0</v>
      </c>
      <c r="X91" s="62">
        <f t="shared" si="88"/>
        <v>1959.9999999999998</v>
      </c>
      <c r="Y91" s="62">
        <f t="shared" si="88"/>
        <v>1959.9999999999998</v>
      </c>
      <c r="Z91" s="62">
        <f t="shared" si="88"/>
        <v>1959.9999999999998</v>
      </c>
      <c r="AA91" s="62">
        <f t="shared" si="88"/>
        <v>1959.9999999999998</v>
      </c>
      <c r="AB91" s="62">
        <f t="shared" si="88"/>
        <v>27440</v>
      </c>
      <c r="AC91" s="5" t="s">
        <v>20</v>
      </c>
    </row>
    <row r="93" spans="1:29" s="60" customFormat="1" ht="28.5" customHeight="1" thickBot="1" x14ac:dyDescent="0.35">
      <c r="A93" s="58" t="s">
        <v>5</v>
      </c>
      <c r="B93" s="58"/>
      <c r="R93" s="59"/>
      <c r="S93" s="59"/>
      <c r="T93" s="59"/>
      <c r="U93" s="59"/>
      <c r="V93" s="59"/>
      <c r="W93" s="59"/>
      <c r="X93" s="59"/>
      <c r="Y93" s="59"/>
      <c r="Z93" s="59"/>
      <c r="AA93" s="59"/>
      <c r="AB93" s="59"/>
      <c r="AC93" s="59"/>
    </row>
    <row r="94" spans="1:29" ht="29.4" outlineLevel="1" thickBot="1" x14ac:dyDescent="0.35">
      <c r="A94" s="5" t="s">
        <v>47</v>
      </c>
      <c r="B94" s="5"/>
      <c r="N94" s="10"/>
      <c r="O94" s="18" t="s">
        <v>18</v>
      </c>
      <c r="P94" s="18" t="s">
        <v>45</v>
      </c>
      <c r="Q94" s="18" t="s">
        <v>46</v>
      </c>
      <c r="R94" s="53">
        <v>1</v>
      </c>
      <c r="S94" s="54">
        <v>2</v>
      </c>
      <c r="T94" s="54">
        <v>3</v>
      </c>
      <c r="U94" s="54">
        <v>4</v>
      </c>
      <c r="V94" s="55">
        <v>5</v>
      </c>
      <c r="W94" s="53">
        <v>1</v>
      </c>
      <c r="X94" s="54">
        <v>2</v>
      </c>
      <c r="Y94" s="54">
        <v>3</v>
      </c>
      <c r="Z94" s="54">
        <v>4</v>
      </c>
      <c r="AA94" s="55">
        <v>5</v>
      </c>
      <c r="AB94" s="57" t="s">
        <v>20</v>
      </c>
    </row>
    <row r="95" spans="1:29" outlineLevel="2" x14ac:dyDescent="0.3">
      <c r="A95" t="s">
        <v>39</v>
      </c>
      <c r="C95" s="1" t="s">
        <v>43</v>
      </c>
      <c r="D95" s="25">
        <v>2.6</v>
      </c>
      <c r="N95" s="14" t="s">
        <v>6</v>
      </c>
      <c r="O95" s="33">
        <f>$O$10</f>
        <v>0.66666666666666663</v>
      </c>
      <c r="P95" s="37">
        <f>$O95</f>
        <v>0.66666666666666663</v>
      </c>
      <c r="Q95" s="37">
        <f>$P95*$D$95</f>
        <v>1.7333333333333334</v>
      </c>
      <c r="R95" s="19"/>
      <c r="S95" s="19"/>
      <c r="T95" s="19"/>
      <c r="U95" s="19"/>
      <c r="V95" s="19"/>
      <c r="W95" s="19">
        <f>$Q95*$D$97</f>
        <v>5726.9333333333334</v>
      </c>
      <c r="X95" s="19">
        <f t="shared" ref="X95:AA95" si="89">$Q95*$D$97</f>
        <v>5726.9333333333334</v>
      </c>
      <c r="Y95" s="19">
        <f t="shared" si="89"/>
        <v>5726.9333333333334</v>
      </c>
      <c r="Z95" s="19">
        <f t="shared" si="89"/>
        <v>5726.9333333333334</v>
      </c>
      <c r="AA95" s="19">
        <f t="shared" si="89"/>
        <v>5726.9333333333334</v>
      </c>
      <c r="AB95" s="20">
        <f>SUM(R95:AA95)</f>
        <v>28634.666666666668</v>
      </c>
      <c r="AC95" s="1" t="s">
        <v>6</v>
      </c>
    </row>
    <row r="96" spans="1:29" outlineLevel="2" x14ac:dyDescent="0.3">
      <c r="N96" s="14" t="s">
        <v>7</v>
      </c>
      <c r="O96" s="33">
        <f>$O$11</f>
        <v>0.33333333333333331</v>
      </c>
      <c r="P96" s="37">
        <f t="shared" ref="P96:P99" si="90">$O96</f>
        <v>0.33333333333333331</v>
      </c>
      <c r="Q96" s="37">
        <f t="shared" ref="Q96:Q99" si="91">$P96*$D$95</f>
        <v>0.8666666666666667</v>
      </c>
      <c r="R96" s="19"/>
      <c r="S96" s="19"/>
      <c r="T96" s="19"/>
      <c r="U96" s="19"/>
      <c r="V96" s="19"/>
      <c r="W96" s="19">
        <f t="shared" ref="W96:AA99" si="92">$Q96*$D$97</f>
        <v>2863.4666666666667</v>
      </c>
      <c r="X96" s="19">
        <f t="shared" si="92"/>
        <v>2863.4666666666667</v>
      </c>
      <c r="Y96" s="19">
        <f t="shared" si="92"/>
        <v>2863.4666666666667</v>
      </c>
      <c r="Z96" s="19">
        <f t="shared" si="92"/>
        <v>2863.4666666666667</v>
      </c>
      <c r="AA96" s="19">
        <f t="shared" si="92"/>
        <v>2863.4666666666667</v>
      </c>
      <c r="AB96" s="20">
        <f t="shared" ref="AB96:AB99" si="93">SUM(R96:AA96)</f>
        <v>14317.333333333334</v>
      </c>
      <c r="AC96" s="1" t="s">
        <v>7</v>
      </c>
    </row>
    <row r="97" spans="1:29" outlineLevel="2" x14ac:dyDescent="0.3">
      <c r="A97" t="s">
        <v>40</v>
      </c>
      <c r="C97" s="1" t="s">
        <v>226</v>
      </c>
      <c r="D97" s="34">
        <f>2800*Data!C1</f>
        <v>3304</v>
      </c>
      <c r="N97" s="14" t="s">
        <v>8</v>
      </c>
      <c r="O97" s="33">
        <f>$O$12</f>
        <v>0.33333333333333331</v>
      </c>
      <c r="P97" s="37">
        <f t="shared" si="90"/>
        <v>0.33333333333333331</v>
      </c>
      <c r="Q97" s="37">
        <f t="shared" si="91"/>
        <v>0.8666666666666667</v>
      </c>
      <c r="R97" s="19"/>
      <c r="S97" s="19"/>
      <c r="T97" s="19"/>
      <c r="U97" s="19"/>
      <c r="V97" s="19"/>
      <c r="W97" s="19">
        <f t="shared" si="92"/>
        <v>2863.4666666666667</v>
      </c>
      <c r="X97" s="19">
        <f t="shared" si="92"/>
        <v>2863.4666666666667</v>
      </c>
      <c r="Y97" s="19">
        <f t="shared" si="92"/>
        <v>2863.4666666666667</v>
      </c>
      <c r="Z97" s="19">
        <f t="shared" si="92"/>
        <v>2863.4666666666667</v>
      </c>
      <c r="AA97" s="19">
        <f t="shared" si="92"/>
        <v>2863.4666666666667</v>
      </c>
      <c r="AB97" s="20">
        <f t="shared" si="93"/>
        <v>14317.333333333334</v>
      </c>
      <c r="AC97" s="1" t="s">
        <v>8</v>
      </c>
    </row>
    <row r="98" spans="1:29" outlineLevel="2" x14ac:dyDescent="0.3">
      <c r="N98" s="14" t="s">
        <v>9</v>
      </c>
      <c r="O98" s="33">
        <f>$O$13</f>
        <v>0.66666666666666663</v>
      </c>
      <c r="P98" s="37">
        <f t="shared" si="90"/>
        <v>0.66666666666666663</v>
      </c>
      <c r="Q98" s="37">
        <f t="shared" si="91"/>
        <v>1.7333333333333334</v>
      </c>
      <c r="R98" s="19"/>
      <c r="S98" s="19"/>
      <c r="T98" s="19"/>
      <c r="U98" s="19"/>
      <c r="V98" s="19"/>
      <c r="W98" s="19">
        <f t="shared" si="92"/>
        <v>5726.9333333333334</v>
      </c>
      <c r="X98" s="19">
        <f t="shared" si="92"/>
        <v>5726.9333333333334</v>
      </c>
      <c r="Y98" s="19">
        <f t="shared" si="92"/>
        <v>5726.9333333333334</v>
      </c>
      <c r="Z98" s="19">
        <f t="shared" si="92"/>
        <v>5726.9333333333334</v>
      </c>
      <c r="AA98" s="19">
        <f t="shared" si="92"/>
        <v>5726.9333333333334</v>
      </c>
      <c r="AB98" s="20">
        <f t="shared" si="93"/>
        <v>28634.666666666668</v>
      </c>
      <c r="AC98" s="1" t="s">
        <v>9</v>
      </c>
    </row>
    <row r="99" spans="1:29" outlineLevel="2" x14ac:dyDescent="0.3">
      <c r="N99" s="14" t="s">
        <v>10</v>
      </c>
      <c r="O99" s="33">
        <f>$O$14</f>
        <v>0</v>
      </c>
      <c r="P99" s="37">
        <f t="shared" si="90"/>
        <v>0</v>
      </c>
      <c r="Q99" s="37">
        <f t="shared" si="91"/>
        <v>0</v>
      </c>
      <c r="R99" s="19"/>
      <c r="S99" s="19"/>
      <c r="T99" s="19"/>
      <c r="U99" s="19"/>
      <c r="V99" s="19"/>
      <c r="W99" s="19">
        <f t="shared" si="92"/>
        <v>0</v>
      </c>
      <c r="X99" s="19">
        <f t="shared" si="92"/>
        <v>0</v>
      </c>
      <c r="Y99" s="19">
        <f t="shared" si="92"/>
        <v>0</v>
      </c>
      <c r="Z99" s="19">
        <f t="shared" si="92"/>
        <v>0</v>
      </c>
      <c r="AA99" s="19">
        <f t="shared" si="92"/>
        <v>0</v>
      </c>
      <c r="AB99" s="20">
        <f t="shared" si="93"/>
        <v>0</v>
      </c>
      <c r="AC99" s="1" t="s">
        <v>10</v>
      </c>
    </row>
    <row r="100" spans="1:29" outlineLevel="1" x14ac:dyDescent="0.3">
      <c r="N100" s="14"/>
      <c r="O100" s="50">
        <f>SUM(O95:O99)</f>
        <v>2</v>
      </c>
      <c r="P100" s="65">
        <f>SUM(P95:P99)</f>
        <v>2</v>
      </c>
      <c r="Q100" s="65">
        <f>SUM(Q95:Q99)</f>
        <v>5.2</v>
      </c>
      <c r="R100" s="61">
        <f t="shared" ref="R100:AB100" si="94">SUM(R95:R99)</f>
        <v>0</v>
      </c>
      <c r="S100" s="61">
        <f t="shared" si="94"/>
        <v>0</v>
      </c>
      <c r="T100" s="61">
        <f t="shared" si="94"/>
        <v>0</v>
      </c>
      <c r="U100" s="61">
        <f t="shared" si="94"/>
        <v>0</v>
      </c>
      <c r="V100" s="61">
        <f t="shared" si="94"/>
        <v>0</v>
      </c>
      <c r="W100" s="61">
        <f t="shared" si="94"/>
        <v>17180.8</v>
      </c>
      <c r="X100" s="61">
        <f t="shared" si="94"/>
        <v>17180.8</v>
      </c>
      <c r="Y100" s="61">
        <f t="shared" si="94"/>
        <v>17180.8</v>
      </c>
      <c r="Z100" s="61">
        <f t="shared" si="94"/>
        <v>17180.8</v>
      </c>
      <c r="AA100" s="61">
        <f t="shared" si="94"/>
        <v>17180.8</v>
      </c>
      <c r="AB100" s="62">
        <f t="shared" si="94"/>
        <v>85904</v>
      </c>
      <c r="AC100" s="5" t="s">
        <v>20</v>
      </c>
    </row>
    <row r="101" spans="1:29" ht="28.8" outlineLevel="1" x14ac:dyDescent="0.3">
      <c r="O101" s="18" t="s">
        <v>18</v>
      </c>
      <c r="P101" s="18" t="s">
        <v>45</v>
      </c>
      <c r="Q101" s="18" t="s">
        <v>46</v>
      </c>
    </row>
    <row r="102" spans="1:29" ht="15" outlineLevel="1" thickBot="1" x14ac:dyDescent="0.35"/>
    <row r="103" spans="1:29" ht="29.4" outlineLevel="1" thickBot="1" x14ac:dyDescent="0.35">
      <c r="A103" s="5" t="s">
        <v>50</v>
      </c>
      <c r="O103" s="18" t="s">
        <v>44</v>
      </c>
      <c r="P103" s="18" t="s">
        <v>82</v>
      </c>
      <c r="R103" s="53">
        <v>1</v>
      </c>
      <c r="S103" s="54">
        <v>2</v>
      </c>
      <c r="T103" s="54">
        <v>3</v>
      </c>
      <c r="U103" s="54">
        <v>4</v>
      </c>
      <c r="V103" s="55">
        <v>5</v>
      </c>
      <c r="W103" s="53">
        <v>1</v>
      </c>
      <c r="X103" s="54">
        <v>2</v>
      </c>
      <c r="Y103" s="54">
        <v>3</v>
      </c>
      <c r="Z103" s="54">
        <v>4</v>
      </c>
      <c r="AA103" s="55">
        <v>5</v>
      </c>
      <c r="AB103" s="57" t="s">
        <v>20</v>
      </c>
    </row>
    <row r="104" spans="1:29" outlineLevel="2" x14ac:dyDescent="0.3">
      <c r="A104" t="s">
        <v>80</v>
      </c>
      <c r="C104" s="1" t="s">
        <v>225</v>
      </c>
      <c r="D104" s="35">
        <f>0.1*Data!C1</f>
        <v>0.11799999999999999</v>
      </c>
      <c r="I104" s="14" t="s">
        <v>137</v>
      </c>
      <c r="J104" s="1" t="s">
        <v>49</v>
      </c>
      <c r="K104" s="114">
        <f>K5</f>
        <v>15</v>
      </c>
      <c r="N104" s="14" t="s">
        <v>6</v>
      </c>
      <c r="O104" s="33">
        <f>$O$10</f>
        <v>0.66666666666666663</v>
      </c>
      <c r="P104" s="42">
        <f>$D$107*O104</f>
        <v>27663.15789473684</v>
      </c>
      <c r="R104" s="19"/>
      <c r="S104" s="19"/>
      <c r="T104" s="19"/>
      <c r="U104" s="19"/>
      <c r="V104" s="19"/>
      <c r="W104" s="19">
        <f>$P104*$D$104</f>
        <v>3264.2526315789469</v>
      </c>
      <c r="X104" s="19">
        <f t="shared" ref="X104:AA104" si="95">$P104*$D$104</f>
        <v>3264.2526315789469</v>
      </c>
      <c r="Y104" s="19">
        <f t="shared" si="95"/>
        <v>3264.2526315789469</v>
      </c>
      <c r="Z104" s="19">
        <f t="shared" si="95"/>
        <v>3264.2526315789469</v>
      </c>
      <c r="AA104" s="19">
        <f t="shared" si="95"/>
        <v>3264.2526315789469</v>
      </c>
      <c r="AB104" s="20">
        <f>SUM(R104:AA104)</f>
        <v>16321.263157894735</v>
      </c>
      <c r="AC104" s="1" t="s">
        <v>6</v>
      </c>
    </row>
    <row r="105" spans="1:29" outlineLevel="2" x14ac:dyDescent="0.3">
      <c r="A105" t="s">
        <v>41</v>
      </c>
      <c r="C105" s="1" t="s">
        <v>42</v>
      </c>
      <c r="D105" s="17">
        <v>0.66</v>
      </c>
      <c r="I105" s="14" t="s">
        <v>150</v>
      </c>
      <c r="J105" s="1" t="s">
        <v>49</v>
      </c>
      <c r="K105" s="101">
        <f>K104/H5</f>
        <v>7.8947368421052627E-2</v>
      </c>
      <c r="N105" s="14" t="s">
        <v>7</v>
      </c>
      <c r="O105" s="33">
        <f>$O$11</f>
        <v>0.33333333333333331</v>
      </c>
      <c r="P105" s="42">
        <f>$D$107*O105</f>
        <v>13831.57894736842</v>
      </c>
      <c r="R105" s="19"/>
      <c r="S105" s="19"/>
      <c r="T105" s="19"/>
      <c r="U105" s="19"/>
      <c r="V105" s="19"/>
      <c r="W105" s="19">
        <f t="shared" ref="W105:AA108" si="96">$P105*$D$104</f>
        <v>1632.1263157894734</v>
      </c>
      <c r="X105" s="19">
        <f t="shared" si="96"/>
        <v>1632.1263157894734</v>
      </c>
      <c r="Y105" s="19">
        <f t="shared" si="96"/>
        <v>1632.1263157894734</v>
      </c>
      <c r="Z105" s="19">
        <f t="shared" si="96"/>
        <v>1632.1263157894734</v>
      </c>
      <c r="AA105" s="19">
        <f t="shared" si="96"/>
        <v>1632.1263157894734</v>
      </c>
      <c r="AB105" s="20">
        <f t="shared" ref="AB105:AB108" si="97">SUM(R105:AA105)</f>
        <v>8160.6315789473674</v>
      </c>
      <c r="AC105" s="1" t="s">
        <v>7</v>
      </c>
    </row>
    <row r="106" spans="1:29" outlineLevel="2" x14ac:dyDescent="0.3">
      <c r="A106" t="s">
        <v>48</v>
      </c>
      <c r="C106" s="1" t="s">
        <v>49</v>
      </c>
      <c r="D106" s="101">
        <f>(K107*K105)</f>
        <v>4.7368421052631575</v>
      </c>
      <c r="I106" s="14"/>
      <c r="J106" s="1"/>
      <c r="N106" s="14" t="s">
        <v>8</v>
      </c>
      <c r="O106" s="33">
        <f>$O$12</f>
        <v>0.33333333333333331</v>
      </c>
      <c r="P106" s="42">
        <f>$D$107*O106</f>
        <v>13831.57894736842</v>
      </c>
      <c r="R106" s="19"/>
      <c r="S106" s="19"/>
      <c r="T106" s="19"/>
      <c r="U106" s="19"/>
      <c r="V106" s="19"/>
      <c r="W106" s="19">
        <f t="shared" si="96"/>
        <v>1632.1263157894734</v>
      </c>
      <c r="X106" s="19">
        <f t="shared" si="96"/>
        <v>1632.1263157894734</v>
      </c>
      <c r="Y106" s="19">
        <f t="shared" si="96"/>
        <v>1632.1263157894734</v>
      </c>
      <c r="Z106" s="19">
        <f t="shared" si="96"/>
        <v>1632.1263157894734</v>
      </c>
      <c r="AA106" s="19">
        <f t="shared" si="96"/>
        <v>1632.1263157894734</v>
      </c>
      <c r="AB106" s="20">
        <f t="shared" si="97"/>
        <v>8160.6315789473674</v>
      </c>
      <c r="AC106" s="1" t="s">
        <v>8</v>
      </c>
    </row>
    <row r="107" spans="1:29" outlineLevel="2" x14ac:dyDescent="0.3">
      <c r="A107" t="s">
        <v>81</v>
      </c>
      <c r="C107" s="1" t="s">
        <v>49</v>
      </c>
      <c r="D107" s="102">
        <f>$D$106*24*365</f>
        <v>41494.73684210526</v>
      </c>
      <c r="I107" s="14" t="s">
        <v>156</v>
      </c>
      <c r="K107" s="33">
        <f>F15</f>
        <v>60</v>
      </c>
      <c r="N107" s="14" t="s">
        <v>9</v>
      </c>
      <c r="O107" s="33">
        <f>$O$13</f>
        <v>0.66666666666666663</v>
      </c>
      <c r="P107" s="42">
        <f>$D$107*O107</f>
        <v>27663.15789473684</v>
      </c>
      <c r="R107" s="19"/>
      <c r="S107" s="19"/>
      <c r="T107" s="19"/>
      <c r="U107" s="19"/>
      <c r="V107" s="19"/>
      <c r="W107" s="19">
        <f t="shared" si="96"/>
        <v>3264.2526315789469</v>
      </c>
      <c r="X107" s="19">
        <f t="shared" si="96"/>
        <v>3264.2526315789469</v>
      </c>
      <c r="Y107" s="19">
        <f t="shared" si="96"/>
        <v>3264.2526315789469</v>
      </c>
      <c r="Z107" s="19">
        <f t="shared" si="96"/>
        <v>3264.2526315789469</v>
      </c>
      <c r="AA107" s="19">
        <f t="shared" si="96"/>
        <v>3264.2526315789469</v>
      </c>
      <c r="AB107" s="20">
        <f t="shared" si="97"/>
        <v>16321.263157894735</v>
      </c>
      <c r="AC107" s="1" t="s">
        <v>9</v>
      </c>
    </row>
    <row r="108" spans="1:29" outlineLevel="2" x14ac:dyDescent="0.3">
      <c r="H108" s="1"/>
      <c r="N108" s="14" t="s">
        <v>10</v>
      </c>
      <c r="O108" s="33">
        <f>$O$14</f>
        <v>0</v>
      </c>
      <c r="P108" s="42">
        <f>$D$107*O108</f>
        <v>0</v>
      </c>
      <c r="R108" s="19"/>
      <c r="S108" s="19"/>
      <c r="T108" s="19"/>
      <c r="U108" s="19"/>
      <c r="V108" s="19"/>
      <c r="W108" s="19">
        <f t="shared" si="96"/>
        <v>0</v>
      </c>
      <c r="X108" s="19">
        <f t="shared" si="96"/>
        <v>0</v>
      </c>
      <c r="Y108" s="19">
        <f t="shared" si="96"/>
        <v>0</v>
      </c>
      <c r="Z108" s="19">
        <f t="shared" si="96"/>
        <v>0</v>
      </c>
      <c r="AA108" s="19">
        <f t="shared" si="96"/>
        <v>0</v>
      </c>
      <c r="AB108" s="20">
        <f t="shared" si="97"/>
        <v>0</v>
      </c>
      <c r="AC108" s="1" t="s">
        <v>10</v>
      </c>
    </row>
    <row r="109" spans="1:29" outlineLevel="1" x14ac:dyDescent="0.3">
      <c r="N109" s="14"/>
      <c r="O109" s="50">
        <f>SUM(O104:O108)</f>
        <v>2</v>
      </c>
      <c r="P109" s="66">
        <f>SUM(P104:P108)</f>
        <v>82989.473684210519</v>
      </c>
      <c r="R109" s="61">
        <f t="shared" ref="R109:AB109" si="98">SUM(R104:R108)</f>
        <v>0</v>
      </c>
      <c r="S109" s="61">
        <f t="shared" si="98"/>
        <v>0</v>
      </c>
      <c r="T109" s="61">
        <f t="shared" si="98"/>
        <v>0</v>
      </c>
      <c r="U109" s="61">
        <f t="shared" si="98"/>
        <v>0</v>
      </c>
      <c r="V109" s="61">
        <f t="shared" si="98"/>
        <v>0</v>
      </c>
      <c r="W109" s="61">
        <f t="shared" si="98"/>
        <v>9792.7578947368402</v>
      </c>
      <c r="X109" s="61">
        <f t="shared" si="98"/>
        <v>9792.7578947368402</v>
      </c>
      <c r="Y109" s="61">
        <f t="shared" si="98"/>
        <v>9792.7578947368402</v>
      </c>
      <c r="Z109" s="61">
        <f t="shared" si="98"/>
        <v>9792.7578947368402</v>
      </c>
      <c r="AA109" s="61">
        <f t="shared" si="98"/>
        <v>9792.7578947368402</v>
      </c>
      <c r="AB109" s="62">
        <f t="shared" si="98"/>
        <v>48963.789473684206</v>
      </c>
      <c r="AC109" s="5" t="s">
        <v>20</v>
      </c>
    </row>
    <row r="110" spans="1:29" ht="28.8" outlineLevel="1" x14ac:dyDescent="0.3">
      <c r="O110" s="18" t="s">
        <v>44</v>
      </c>
      <c r="P110" s="18" t="s">
        <v>82</v>
      </c>
    </row>
    <row r="111" spans="1:29" ht="15" outlineLevel="1" thickBot="1" x14ac:dyDescent="0.35"/>
    <row r="112" spans="1:29" ht="15" outlineLevel="1" thickBot="1" x14ac:dyDescent="0.35">
      <c r="A112" s="5"/>
      <c r="O112" s="18"/>
      <c r="P112" s="18"/>
      <c r="R112" s="53"/>
      <c r="S112" s="54"/>
      <c r="T112" s="54"/>
      <c r="U112" s="54"/>
      <c r="V112" s="55"/>
      <c r="W112" s="53"/>
      <c r="X112" s="54"/>
      <c r="Y112" s="54"/>
      <c r="Z112" s="54"/>
      <c r="AA112" s="55"/>
      <c r="AB112" s="57"/>
    </row>
    <row r="113" spans="1:29" outlineLevel="2" x14ac:dyDescent="0.3">
      <c r="D113" s="67"/>
      <c r="N113" s="14"/>
      <c r="O113" s="33"/>
      <c r="P113" s="42"/>
      <c r="R113" s="19"/>
      <c r="S113" s="19"/>
      <c r="T113" s="19"/>
      <c r="U113" s="19"/>
      <c r="V113" s="19"/>
      <c r="W113" s="19"/>
      <c r="X113" s="19"/>
      <c r="Y113" s="19"/>
      <c r="Z113" s="19"/>
      <c r="AA113" s="19"/>
      <c r="AB113" s="20"/>
      <c r="AC113" s="1"/>
    </row>
    <row r="114" spans="1:29" outlineLevel="2" x14ac:dyDescent="0.3">
      <c r="D114" s="67"/>
      <c r="N114" s="14"/>
      <c r="O114" s="33"/>
      <c r="P114" s="42"/>
      <c r="R114" s="19"/>
      <c r="S114" s="19"/>
      <c r="T114" s="19"/>
      <c r="U114" s="19"/>
      <c r="V114" s="19"/>
      <c r="W114" s="19"/>
      <c r="X114" s="19"/>
      <c r="Y114" s="19"/>
      <c r="Z114" s="19"/>
      <c r="AA114" s="19"/>
      <c r="AB114" s="20"/>
      <c r="AC114" s="1"/>
    </row>
    <row r="115" spans="1:29" outlineLevel="2" x14ac:dyDescent="0.3">
      <c r="N115" s="14"/>
      <c r="O115" s="33"/>
      <c r="P115" s="42"/>
      <c r="R115" s="19"/>
      <c r="S115" s="19"/>
      <c r="T115" s="19"/>
      <c r="U115" s="19"/>
      <c r="V115" s="19"/>
      <c r="W115" s="19"/>
      <c r="X115" s="19"/>
      <c r="Y115" s="19"/>
      <c r="Z115" s="19"/>
      <c r="AA115" s="19"/>
      <c r="AB115" s="20"/>
      <c r="AC115" s="1"/>
    </row>
    <row r="116" spans="1:29" outlineLevel="2" x14ac:dyDescent="0.3">
      <c r="N116" s="14"/>
      <c r="O116" s="33"/>
      <c r="P116" s="42"/>
      <c r="R116" s="19"/>
      <c r="S116" s="19"/>
      <c r="T116" s="19"/>
      <c r="U116" s="19"/>
      <c r="V116" s="19"/>
      <c r="W116" s="19"/>
      <c r="X116" s="19"/>
      <c r="Y116" s="19"/>
      <c r="Z116" s="19"/>
      <c r="AA116" s="19"/>
      <c r="AB116" s="20"/>
      <c r="AC116" s="1"/>
    </row>
    <row r="117" spans="1:29" outlineLevel="2" x14ac:dyDescent="0.3">
      <c r="N117" s="14"/>
      <c r="O117" s="33"/>
      <c r="P117" s="42"/>
      <c r="R117" s="19"/>
      <c r="S117" s="19"/>
      <c r="T117" s="19"/>
      <c r="U117" s="19"/>
      <c r="V117" s="19"/>
      <c r="W117" s="19"/>
      <c r="X117" s="19"/>
      <c r="Y117" s="19"/>
      <c r="Z117" s="19"/>
      <c r="AA117" s="19"/>
      <c r="AB117" s="20"/>
      <c r="AC117" s="1"/>
    </row>
    <row r="118" spans="1:29" outlineLevel="1" x14ac:dyDescent="0.3">
      <c r="N118" s="14"/>
      <c r="O118" s="50"/>
      <c r="P118" s="66"/>
      <c r="R118" s="61"/>
      <c r="S118" s="61"/>
      <c r="T118" s="61"/>
      <c r="U118" s="61"/>
      <c r="V118" s="61"/>
      <c r="W118" s="61"/>
      <c r="X118" s="61"/>
      <c r="Y118" s="61"/>
      <c r="Z118" s="61"/>
      <c r="AA118" s="61"/>
      <c r="AB118" s="62"/>
      <c r="AC118" s="5"/>
    </row>
    <row r="119" spans="1:29" outlineLevel="1" x14ac:dyDescent="0.3">
      <c r="O119" s="18"/>
      <c r="P119" s="18"/>
    </row>
    <row r="120" spans="1:29" outlineLevel="1" x14ac:dyDescent="0.3"/>
    <row r="121" spans="1:29" outlineLevel="1" x14ac:dyDescent="0.3">
      <c r="N121" s="14" t="s">
        <v>6</v>
      </c>
      <c r="R121" s="21">
        <f t="shared" ref="R121:AB121" si="99">R95+R104+R113</f>
        <v>0</v>
      </c>
      <c r="S121" s="21">
        <f t="shared" si="99"/>
        <v>0</v>
      </c>
      <c r="T121" s="21">
        <f t="shared" si="99"/>
        <v>0</v>
      </c>
      <c r="U121" s="21">
        <f t="shared" si="99"/>
        <v>0</v>
      </c>
      <c r="V121" s="21">
        <f t="shared" si="99"/>
        <v>0</v>
      </c>
      <c r="W121" s="21">
        <f t="shared" si="99"/>
        <v>8991.1859649122798</v>
      </c>
      <c r="X121" s="21">
        <f t="shared" si="99"/>
        <v>8991.1859649122798</v>
      </c>
      <c r="Y121" s="21">
        <f t="shared" si="99"/>
        <v>8991.1859649122798</v>
      </c>
      <c r="Z121" s="21">
        <f t="shared" si="99"/>
        <v>8991.1859649122798</v>
      </c>
      <c r="AA121" s="21">
        <f t="shared" si="99"/>
        <v>8991.1859649122798</v>
      </c>
      <c r="AB121" s="20">
        <f t="shared" si="99"/>
        <v>44955.929824561405</v>
      </c>
      <c r="AC121" s="1" t="s">
        <v>6</v>
      </c>
    </row>
    <row r="122" spans="1:29" outlineLevel="1" x14ac:dyDescent="0.3">
      <c r="N122" s="14" t="s">
        <v>7</v>
      </c>
      <c r="R122" s="21">
        <f t="shared" ref="R122:AA122" si="100">R96+R105+R114</f>
        <v>0</v>
      </c>
      <c r="S122" s="21">
        <f t="shared" si="100"/>
        <v>0</v>
      </c>
      <c r="T122" s="21">
        <f t="shared" si="100"/>
        <v>0</v>
      </c>
      <c r="U122" s="21">
        <f t="shared" si="100"/>
        <v>0</v>
      </c>
      <c r="V122" s="21">
        <f t="shared" si="100"/>
        <v>0</v>
      </c>
      <c r="W122" s="21">
        <f t="shared" si="100"/>
        <v>4495.5929824561399</v>
      </c>
      <c r="X122" s="21">
        <f t="shared" si="100"/>
        <v>4495.5929824561399</v>
      </c>
      <c r="Y122" s="21">
        <f t="shared" si="100"/>
        <v>4495.5929824561399</v>
      </c>
      <c r="Z122" s="21">
        <f t="shared" si="100"/>
        <v>4495.5929824561399</v>
      </c>
      <c r="AA122" s="21">
        <f t="shared" si="100"/>
        <v>4495.5929824561399</v>
      </c>
      <c r="AB122" s="20">
        <f>AB96+AB105+AB114</f>
        <v>22477.964912280702</v>
      </c>
      <c r="AC122" s="1" t="s">
        <v>7</v>
      </c>
    </row>
    <row r="123" spans="1:29" outlineLevel="1" x14ac:dyDescent="0.3">
      <c r="N123" s="14" t="s">
        <v>8</v>
      </c>
      <c r="R123" s="21">
        <f t="shared" ref="R123:AB123" si="101">R97+R106+R115</f>
        <v>0</v>
      </c>
      <c r="S123" s="21">
        <f t="shared" si="101"/>
        <v>0</v>
      </c>
      <c r="T123" s="21">
        <f t="shared" si="101"/>
        <v>0</v>
      </c>
      <c r="U123" s="21">
        <f t="shared" si="101"/>
        <v>0</v>
      </c>
      <c r="V123" s="21">
        <f t="shared" si="101"/>
        <v>0</v>
      </c>
      <c r="W123" s="21">
        <f t="shared" si="101"/>
        <v>4495.5929824561399</v>
      </c>
      <c r="X123" s="21">
        <f t="shared" si="101"/>
        <v>4495.5929824561399</v>
      </c>
      <c r="Y123" s="21">
        <f t="shared" si="101"/>
        <v>4495.5929824561399</v>
      </c>
      <c r="Z123" s="21">
        <f t="shared" si="101"/>
        <v>4495.5929824561399</v>
      </c>
      <c r="AA123" s="21">
        <f t="shared" si="101"/>
        <v>4495.5929824561399</v>
      </c>
      <c r="AB123" s="20">
        <f t="shared" si="101"/>
        <v>22477.964912280702</v>
      </c>
      <c r="AC123" s="1" t="s">
        <v>8</v>
      </c>
    </row>
    <row r="124" spans="1:29" outlineLevel="1" x14ac:dyDescent="0.3">
      <c r="N124" s="14" t="s">
        <v>9</v>
      </c>
      <c r="R124" s="21">
        <f t="shared" ref="R124:AB124" si="102">R98+R107+R116</f>
        <v>0</v>
      </c>
      <c r="S124" s="21">
        <f t="shared" si="102"/>
        <v>0</v>
      </c>
      <c r="T124" s="21">
        <f t="shared" si="102"/>
        <v>0</v>
      </c>
      <c r="U124" s="21">
        <f t="shared" si="102"/>
        <v>0</v>
      </c>
      <c r="V124" s="21">
        <f t="shared" si="102"/>
        <v>0</v>
      </c>
      <c r="W124" s="21">
        <f t="shared" si="102"/>
        <v>8991.1859649122798</v>
      </c>
      <c r="X124" s="21">
        <f t="shared" si="102"/>
        <v>8991.1859649122798</v>
      </c>
      <c r="Y124" s="21">
        <f t="shared" si="102"/>
        <v>8991.1859649122798</v>
      </c>
      <c r="Z124" s="21">
        <f t="shared" si="102"/>
        <v>8991.1859649122798</v>
      </c>
      <c r="AA124" s="21">
        <f t="shared" si="102"/>
        <v>8991.1859649122798</v>
      </c>
      <c r="AB124" s="20">
        <f t="shared" si="102"/>
        <v>44955.929824561405</v>
      </c>
      <c r="AC124" s="1" t="s">
        <v>9</v>
      </c>
    </row>
    <row r="125" spans="1:29" outlineLevel="1" x14ac:dyDescent="0.3">
      <c r="N125" s="14" t="s">
        <v>10</v>
      </c>
      <c r="R125" s="21">
        <f t="shared" ref="R125:AB125" si="103">R99+R108+R117</f>
        <v>0</v>
      </c>
      <c r="S125" s="21">
        <f t="shared" si="103"/>
        <v>0</v>
      </c>
      <c r="T125" s="21">
        <f t="shared" si="103"/>
        <v>0</v>
      </c>
      <c r="U125" s="21">
        <f t="shared" si="103"/>
        <v>0</v>
      </c>
      <c r="V125" s="21">
        <f t="shared" si="103"/>
        <v>0</v>
      </c>
      <c r="W125" s="21">
        <f t="shared" si="103"/>
        <v>0</v>
      </c>
      <c r="X125" s="21">
        <f t="shared" si="103"/>
        <v>0</v>
      </c>
      <c r="Y125" s="21">
        <f t="shared" si="103"/>
        <v>0</v>
      </c>
      <c r="Z125" s="21">
        <f t="shared" si="103"/>
        <v>0</v>
      </c>
      <c r="AA125" s="21">
        <f t="shared" si="103"/>
        <v>0</v>
      </c>
      <c r="AB125" s="20">
        <f t="shared" si="103"/>
        <v>0</v>
      </c>
      <c r="AC125" s="1" t="s">
        <v>10</v>
      </c>
    </row>
    <row r="126" spans="1:29" x14ac:dyDescent="0.3">
      <c r="O126" s="39" t="s">
        <v>83</v>
      </c>
      <c r="R126" s="62">
        <f t="shared" ref="R126:AB126" si="104">R100+R109+R118</f>
        <v>0</v>
      </c>
      <c r="S126" s="62">
        <f t="shared" si="104"/>
        <v>0</v>
      </c>
      <c r="T126" s="62">
        <f t="shared" si="104"/>
        <v>0</v>
      </c>
      <c r="U126" s="62">
        <f t="shared" si="104"/>
        <v>0</v>
      </c>
      <c r="V126" s="62">
        <f t="shared" si="104"/>
        <v>0</v>
      </c>
      <c r="W126" s="62">
        <f t="shared" si="104"/>
        <v>26973.557894736841</v>
      </c>
      <c r="X126" s="62">
        <f t="shared" si="104"/>
        <v>26973.557894736841</v>
      </c>
      <c r="Y126" s="62">
        <f t="shared" si="104"/>
        <v>26973.557894736841</v>
      </c>
      <c r="Z126" s="62">
        <f t="shared" si="104"/>
        <v>26973.557894736841</v>
      </c>
      <c r="AA126" s="62">
        <f t="shared" si="104"/>
        <v>26973.557894736841</v>
      </c>
      <c r="AB126" s="62">
        <f t="shared" si="104"/>
        <v>134867.78947368421</v>
      </c>
      <c r="AC126" s="5" t="s">
        <v>20</v>
      </c>
    </row>
    <row r="128" spans="1:29" s="60" customFormat="1" ht="28.5" customHeight="1" x14ac:dyDescent="0.3">
      <c r="A128" s="58"/>
      <c r="B128" s="58"/>
      <c r="R128" s="59"/>
      <c r="S128" s="59"/>
      <c r="T128" s="59"/>
      <c r="U128" s="59"/>
      <c r="V128" s="59"/>
      <c r="W128" s="59"/>
      <c r="X128" s="59"/>
      <c r="Y128" s="59"/>
      <c r="Z128" s="59"/>
      <c r="AA128" s="59"/>
      <c r="AB128" s="59"/>
      <c r="AC128" s="59"/>
    </row>
    <row r="129" spans="16:29" x14ac:dyDescent="0.3">
      <c r="P129" s="64" t="s">
        <v>107</v>
      </c>
      <c r="R129" s="62">
        <f t="shared" ref="R129:AB129" si="105">R15+R73+R82+R91+R126</f>
        <v>5268704</v>
      </c>
      <c r="S129" s="62">
        <f t="shared" si="105"/>
        <v>0</v>
      </c>
      <c r="T129" s="62">
        <f t="shared" si="105"/>
        <v>0</v>
      </c>
      <c r="U129" s="62">
        <f t="shared" si="105"/>
        <v>0</v>
      </c>
      <c r="V129" s="62">
        <f t="shared" si="105"/>
        <v>0</v>
      </c>
      <c r="W129" s="62">
        <f t="shared" si="105"/>
        <v>819973.55789473688</v>
      </c>
      <c r="X129" s="62">
        <f t="shared" si="105"/>
        <v>891725.55789473676</v>
      </c>
      <c r="Y129" s="62">
        <f t="shared" si="105"/>
        <v>891725.55789473676</v>
      </c>
      <c r="Z129" s="62">
        <f t="shared" si="105"/>
        <v>1381725.5578947368</v>
      </c>
      <c r="AA129" s="62">
        <f t="shared" si="105"/>
        <v>1381725.5578947368</v>
      </c>
      <c r="AB129" s="62">
        <f t="shared" si="105"/>
        <v>10635579.789473685</v>
      </c>
      <c r="AC129" s="5" t="s">
        <v>20</v>
      </c>
    </row>
    <row r="130" spans="16:29" x14ac:dyDescent="0.3">
      <c r="P130" s="64" t="s">
        <v>108</v>
      </c>
      <c r="W130" s="62">
        <f>R129+W129</f>
        <v>6088677.5578947365</v>
      </c>
      <c r="X130" s="62">
        <f t="shared" ref="X130:AA130" si="106">S129+X129</f>
        <v>891725.55789473676</v>
      </c>
      <c r="Y130" s="62">
        <f t="shared" si="106"/>
        <v>891725.55789473676</v>
      </c>
      <c r="Z130" s="62">
        <f t="shared" si="106"/>
        <v>1381725.5578947368</v>
      </c>
      <c r="AA130" s="62">
        <f t="shared" si="106"/>
        <v>1381725.5578947368</v>
      </c>
      <c r="AB130" s="62">
        <f>SUM(W130:AA130)</f>
        <v>10635579.789473683</v>
      </c>
    </row>
    <row r="131" spans="16:29" x14ac:dyDescent="0.3">
      <c r="P131" s="64" t="s">
        <v>109</v>
      </c>
      <c r="W131" s="62">
        <f>W130</f>
        <v>6088677.5578947365</v>
      </c>
      <c r="X131" s="62">
        <f>W131+X130</f>
        <v>6980403.1157894731</v>
      </c>
      <c r="Y131" s="62">
        <f t="shared" ref="Y131:AA131" si="107">X131+Y130</f>
        <v>7872128.6736842096</v>
      </c>
      <c r="Z131" s="62">
        <f t="shared" si="107"/>
        <v>9253854.2315789461</v>
      </c>
      <c r="AA131" s="62">
        <f t="shared" si="107"/>
        <v>10635579.789473683</v>
      </c>
    </row>
  </sheetData>
  <mergeCells count="2">
    <mergeCell ref="R1:V1"/>
    <mergeCell ref="W1:AA1"/>
  </mergeCells>
  <hyperlinks>
    <hyperlink ref="C6" r:id="rId1" xr:uid="{899420D5-CAC1-4523-9E29-77E586E3B3B2}"/>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
  <sheetViews>
    <sheetView tabSelected="1" workbookViewId="0">
      <pane xSplit="2" ySplit="4" topLeftCell="C5" activePane="bottomRight" state="frozen"/>
      <selection pane="topRight" activeCell="C1" sqref="C1"/>
      <selection pane="bottomLeft" activeCell="A4" sqref="A4"/>
      <selection pane="bottomRight" activeCell="B38" sqref="B38:F42"/>
    </sheetView>
  </sheetViews>
  <sheetFormatPr defaultRowHeight="14.4" x14ac:dyDescent="0.3"/>
  <cols>
    <col min="1" max="1" width="5.33203125" customWidth="1"/>
    <col min="2" max="2" width="13.88671875" customWidth="1"/>
    <col min="3" max="7" width="12.88671875" customWidth="1"/>
    <col min="8" max="8" width="13.109375" style="39" bestFit="1" customWidth="1"/>
    <col min="10" max="10" width="5.33203125" customWidth="1"/>
    <col min="11" max="11" width="13.88671875" customWidth="1"/>
    <col min="12" max="16" width="12.88671875" customWidth="1"/>
    <col min="17" max="17" width="13.109375" style="39" bestFit="1" customWidth="1"/>
  </cols>
  <sheetData>
    <row r="1" spans="1:17" x14ac:dyDescent="0.3">
      <c r="B1" s="122" t="s">
        <v>140</v>
      </c>
      <c r="C1" s="123">
        <f>sizing!C2</f>
        <v>8000</v>
      </c>
    </row>
    <row r="3" spans="1:17" s="108" customFormat="1" ht="21" x14ac:dyDescent="0.4">
      <c r="B3" s="109" t="s">
        <v>106</v>
      </c>
      <c r="C3" s="194" t="s">
        <v>11</v>
      </c>
      <c r="D3" s="194"/>
      <c r="E3" s="194"/>
      <c r="F3" s="194"/>
      <c r="G3" s="194"/>
      <c r="H3" s="41"/>
      <c r="K3" s="109" t="s">
        <v>145</v>
      </c>
      <c r="L3" s="194" t="s">
        <v>11</v>
      </c>
      <c r="M3" s="194"/>
      <c r="N3" s="194"/>
      <c r="O3" s="194"/>
      <c r="P3" s="194"/>
      <c r="Q3" s="41"/>
    </row>
    <row r="4" spans="1:17" s="3" customFormat="1" ht="37.5" customHeight="1" x14ac:dyDescent="0.3">
      <c r="A4" s="196" t="str">
        <f>'x86 TCO'!A5</f>
        <v>Rack HPE w Xeon Gold 6230 20C 2.10GHz (2 Chips, 40 Cores)</v>
      </c>
      <c r="B4" s="196"/>
      <c r="C4" s="105" t="s">
        <v>6</v>
      </c>
      <c r="D4" s="105" t="s">
        <v>7</v>
      </c>
      <c r="E4" s="105" t="s">
        <v>8</v>
      </c>
      <c r="F4" s="105" t="s">
        <v>58</v>
      </c>
      <c r="G4" s="105" t="s">
        <v>10</v>
      </c>
      <c r="H4" s="91" t="s">
        <v>113</v>
      </c>
      <c r="L4" s="105" t="s">
        <v>6</v>
      </c>
      <c r="M4" s="105" t="s">
        <v>7</v>
      </c>
      <c r="N4" s="105" t="s">
        <v>8</v>
      </c>
      <c r="O4" s="105" t="s">
        <v>58</v>
      </c>
      <c r="P4" s="105" t="s">
        <v>10</v>
      </c>
      <c r="Q4" s="91" t="s">
        <v>113</v>
      </c>
    </row>
    <row r="5" spans="1:17" s="3" customFormat="1" ht="29.25" customHeight="1" x14ac:dyDescent="0.3">
      <c r="A5" s="195" t="s">
        <v>0</v>
      </c>
      <c r="B5" s="2" t="s">
        <v>1</v>
      </c>
      <c r="C5" s="124">
        <f>'x86 TCO'!AB19</f>
        <v>134400</v>
      </c>
      <c r="D5" s="68">
        <f>'x86 TCO'!AB20</f>
        <v>67200</v>
      </c>
      <c r="E5" s="68">
        <f>'x86 TCO'!AB21</f>
        <v>67200</v>
      </c>
      <c r="F5" s="68">
        <f>'x86 TCO'!AB22</f>
        <v>134400</v>
      </c>
      <c r="G5" s="68">
        <f>'x86 TCO'!AB23</f>
        <v>268800</v>
      </c>
      <c r="H5" s="69">
        <f>SUM(C5:G5)</f>
        <v>672000</v>
      </c>
      <c r="J5" s="195" t="s">
        <v>0</v>
      </c>
      <c r="K5" s="2" t="s">
        <v>1</v>
      </c>
      <c r="L5" s="124">
        <f>'LinuxONE TCO'!AB10</f>
        <v>1848000</v>
      </c>
      <c r="M5" s="68">
        <f>'LinuxONE TCO'!AB11</f>
        <v>924000</v>
      </c>
      <c r="N5" s="68">
        <f>'LinuxONE TCO'!AB12</f>
        <v>924000</v>
      </c>
      <c r="O5" s="68">
        <f>'LinuxONE TCO'!AB13</f>
        <v>1848000</v>
      </c>
      <c r="P5" s="68">
        <f>'LinuxONE TCO'!AB14</f>
        <v>336000</v>
      </c>
      <c r="Q5" s="69">
        <f t="shared" ref="Q5:Q10" si="0">SUM(L5:P5)</f>
        <v>5880000</v>
      </c>
    </row>
    <row r="6" spans="1:17" s="3" customFormat="1" ht="29.25" customHeight="1" x14ac:dyDescent="0.3">
      <c r="A6" s="195"/>
      <c r="B6" s="2" t="s">
        <v>2</v>
      </c>
      <c r="C6" s="141">
        <f>'x86 TCO'!AB35</f>
        <v>2612184</v>
      </c>
      <c r="D6" s="68">
        <f>'x86 TCO'!AB45</f>
        <v>1306092</v>
      </c>
      <c r="E6" s="68">
        <f>'x86 TCO'!AB55</f>
        <v>1306092</v>
      </c>
      <c r="F6" s="68">
        <f>'x86 TCO'!AB65</f>
        <v>2612184</v>
      </c>
      <c r="G6" s="68">
        <f>'x86 TCO'!AB75</f>
        <v>5224368</v>
      </c>
      <c r="H6" s="69">
        <f>SUM(C6:G6)</f>
        <v>13060920</v>
      </c>
      <c r="J6" s="195"/>
      <c r="K6" s="2" t="s">
        <v>2</v>
      </c>
      <c r="L6" s="141">
        <f>'LinuxONE TCO'!AB31</f>
        <v>1497757.3333333333</v>
      </c>
      <c r="M6" s="68">
        <f>'LinuxONE TCO'!AB41</f>
        <v>748878.66666666663</v>
      </c>
      <c r="N6" s="68">
        <f>'LinuxONE TCO'!AB51</f>
        <v>748878.66666666663</v>
      </c>
      <c r="O6" s="68">
        <f>'LinuxONE TCO'!AB61</f>
        <v>1497757.3333333333</v>
      </c>
      <c r="P6" s="68">
        <f>'LinuxONE TCO'!AB71</f>
        <v>0</v>
      </c>
      <c r="Q6" s="69">
        <f t="shared" si="0"/>
        <v>4493272</v>
      </c>
    </row>
    <row r="7" spans="1:17" s="3" customFormat="1" ht="29.25" customHeight="1" x14ac:dyDescent="0.3">
      <c r="A7" s="195"/>
      <c r="B7" s="2" t="s">
        <v>3</v>
      </c>
      <c r="C7" s="197">
        <f>'x86 TCO'!AB86</f>
        <v>1000000</v>
      </c>
      <c r="D7" s="198"/>
      <c r="E7" s="198"/>
      <c r="F7" s="198"/>
      <c r="G7" s="199"/>
      <c r="H7" s="69">
        <f t="shared" ref="H7" si="1">SUM(C7:G7)</f>
        <v>1000000</v>
      </c>
      <c r="J7" s="195"/>
      <c r="K7" s="2" t="s">
        <v>3</v>
      </c>
      <c r="L7" s="197">
        <f>'LinuxONE TCO'!AB82</f>
        <v>100000</v>
      </c>
      <c r="M7" s="198"/>
      <c r="N7" s="198"/>
      <c r="O7" s="198"/>
      <c r="P7" s="199"/>
      <c r="Q7" s="69">
        <f t="shared" si="0"/>
        <v>100000</v>
      </c>
    </row>
    <row r="8" spans="1:17" s="3" customFormat="1" ht="29.25" customHeight="1" x14ac:dyDescent="0.3">
      <c r="A8" s="195"/>
      <c r="B8" s="2" t="s">
        <v>4</v>
      </c>
      <c r="C8" s="68">
        <f>'x86 TCO'!AB90</f>
        <v>82320</v>
      </c>
      <c r="D8" s="68">
        <f>'x86 TCO'!AB91</f>
        <v>41160</v>
      </c>
      <c r="E8" s="68">
        <f>'x86 TCO'!AB92</f>
        <v>41160</v>
      </c>
      <c r="F8" s="68">
        <f>'x86 TCO'!AB93</f>
        <v>82320</v>
      </c>
      <c r="G8" s="68">
        <f>'x86 TCO'!AB94</f>
        <v>164640</v>
      </c>
      <c r="H8" s="69">
        <f>SUM(C8:G8)</f>
        <v>411600</v>
      </c>
      <c r="J8" s="195"/>
      <c r="K8" s="2" t="s">
        <v>4</v>
      </c>
      <c r="L8" s="68">
        <f>'LinuxONE TCO'!AB86</f>
        <v>9146.6666666666661</v>
      </c>
      <c r="M8" s="68">
        <f>'LinuxONE TCO'!AB87</f>
        <v>4573.333333333333</v>
      </c>
      <c r="N8" s="68">
        <f>'LinuxONE TCO'!AB88</f>
        <v>4573.333333333333</v>
      </c>
      <c r="O8" s="68">
        <f>'LinuxONE TCO'!AB89</f>
        <v>9146.6666666666661</v>
      </c>
      <c r="P8" s="68">
        <f>'LinuxONE TCO'!AB90</f>
        <v>0</v>
      </c>
      <c r="Q8" s="69">
        <f t="shared" si="0"/>
        <v>27440</v>
      </c>
    </row>
    <row r="9" spans="1:17" s="3" customFormat="1" ht="29.25" customHeight="1" x14ac:dyDescent="0.3">
      <c r="A9" s="195"/>
      <c r="B9" s="2" t="s">
        <v>47</v>
      </c>
      <c r="C9" s="68">
        <f>'x86 TCO'!AB99</f>
        <v>46020</v>
      </c>
      <c r="D9" s="68">
        <f>'x86 TCO'!AB100</f>
        <v>15953.600000000002</v>
      </c>
      <c r="E9" s="68">
        <f>'x86 TCO'!AB101</f>
        <v>15953.600000000002</v>
      </c>
      <c r="F9" s="68">
        <f>'x86 TCO'!AB102</f>
        <v>31907.200000000004</v>
      </c>
      <c r="G9" s="68">
        <f>'x86 TCO'!AB103</f>
        <v>76700</v>
      </c>
      <c r="H9" s="69">
        <f>SUM(C9:G9)</f>
        <v>186534.40000000002</v>
      </c>
      <c r="J9" s="195"/>
      <c r="K9" s="2" t="s">
        <v>47</v>
      </c>
      <c r="L9" s="68">
        <f>'LinuxONE TCO'!AB95</f>
        <v>28634.666666666668</v>
      </c>
      <c r="M9" s="68">
        <f>'LinuxONE TCO'!AB96</f>
        <v>14317.333333333334</v>
      </c>
      <c r="N9" s="68">
        <f>'LinuxONE TCO'!AB97</f>
        <v>14317.333333333334</v>
      </c>
      <c r="O9" s="68">
        <f>'LinuxONE TCO'!AB98</f>
        <v>28634.666666666668</v>
      </c>
      <c r="P9" s="68">
        <f>'LinuxONE TCO'!AB99</f>
        <v>0</v>
      </c>
      <c r="Q9" s="69">
        <f t="shared" si="0"/>
        <v>85904</v>
      </c>
    </row>
    <row r="10" spans="1:17" s="3" customFormat="1" ht="29.25" customHeight="1" x14ac:dyDescent="0.3">
      <c r="A10" s="195"/>
      <c r="B10" s="2" t="s">
        <v>50</v>
      </c>
      <c r="C10" s="68">
        <f>'x86 TCO'!AB108</f>
        <v>99233.280000000013</v>
      </c>
      <c r="D10" s="68">
        <f>'x86 TCO'!AB109</f>
        <v>49616.640000000007</v>
      </c>
      <c r="E10" s="68">
        <f>'x86 TCO'!AB110</f>
        <v>49616.640000000007</v>
      </c>
      <c r="F10" s="68">
        <f>'x86 TCO'!AB111</f>
        <v>99233.280000000013</v>
      </c>
      <c r="G10" s="68">
        <f>'x86 TCO'!AB112</f>
        <v>198466.56000000003</v>
      </c>
      <c r="H10" s="69">
        <f>SUM(C10:G10)</f>
        <v>496166.40000000002</v>
      </c>
      <c r="J10" s="195"/>
      <c r="K10" s="2" t="s">
        <v>50</v>
      </c>
      <c r="L10" s="68">
        <f>'LinuxONE TCO'!AB104</f>
        <v>16321.263157894735</v>
      </c>
      <c r="M10" s="68">
        <f>'LinuxONE TCO'!AB105</f>
        <v>8160.6315789473674</v>
      </c>
      <c r="N10" s="68">
        <f>'LinuxONE TCO'!AB106</f>
        <v>8160.6315789473674</v>
      </c>
      <c r="O10" s="68">
        <f>'LinuxONE TCO'!AB107</f>
        <v>16321.263157894735</v>
      </c>
      <c r="P10" s="68">
        <f>'LinuxONE TCO'!AB108</f>
        <v>0</v>
      </c>
      <c r="Q10" s="69">
        <f t="shared" si="0"/>
        <v>48963.789473684206</v>
      </c>
    </row>
    <row r="11" spans="1:17" x14ac:dyDescent="0.3">
      <c r="B11" s="89" t="s">
        <v>112</v>
      </c>
      <c r="C11" s="90">
        <f t="shared" ref="C11:H11" si="2">SUM(C5:C10)</f>
        <v>3974157.28</v>
      </c>
      <c r="D11" s="90">
        <f t="shared" si="2"/>
        <v>1480022.24</v>
      </c>
      <c r="E11" s="90">
        <f t="shared" si="2"/>
        <v>1480022.24</v>
      </c>
      <c r="F11" s="90">
        <f t="shared" si="2"/>
        <v>2960044.48</v>
      </c>
      <c r="G11" s="90">
        <f t="shared" si="2"/>
        <v>5932974.5599999996</v>
      </c>
      <c r="H11" s="142">
        <f t="shared" si="2"/>
        <v>15827220.800000001</v>
      </c>
      <c r="K11" s="89" t="s">
        <v>112</v>
      </c>
      <c r="L11" s="90">
        <f t="shared" ref="L11:Q11" si="3">SUM(L5:L10)</f>
        <v>3499859.9298245609</v>
      </c>
      <c r="M11" s="90">
        <f t="shared" si="3"/>
        <v>1699929.9649122804</v>
      </c>
      <c r="N11" s="90">
        <f t="shared" si="3"/>
        <v>1699929.9649122804</v>
      </c>
      <c r="O11" s="90">
        <f t="shared" si="3"/>
        <v>3399859.9298245609</v>
      </c>
      <c r="P11" s="90">
        <f t="shared" si="3"/>
        <v>336000</v>
      </c>
      <c r="Q11" s="142">
        <f t="shared" si="3"/>
        <v>10635579.789473685</v>
      </c>
    </row>
    <row r="12" spans="1:17" x14ac:dyDescent="0.3">
      <c r="P12" t="s">
        <v>181</v>
      </c>
      <c r="Q12" s="160">
        <f>(H11-Q11)/H11</f>
        <v>0.3280197500325715</v>
      </c>
    </row>
    <row r="15" spans="1:17" x14ac:dyDescent="0.3">
      <c r="B15" s="104" t="s">
        <v>1</v>
      </c>
      <c r="C15" s="104" t="s">
        <v>2</v>
      </c>
      <c r="D15" s="104" t="s">
        <v>3</v>
      </c>
      <c r="E15" s="104" t="s">
        <v>4</v>
      </c>
      <c r="F15" s="104" t="s">
        <v>5</v>
      </c>
      <c r="G15" s="105" t="s">
        <v>10</v>
      </c>
      <c r="H15" s="5" t="s">
        <v>20</v>
      </c>
    </row>
    <row r="16" spans="1:17" x14ac:dyDescent="0.3">
      <c r="A16" s="5" t="str">
        <f>B3</f>
        <v>x86</v>
      </c>
      <c r="B16" s="70">
        <f>SUM(C5:F5)</f>
        <v>403200</v>
      </c>
      <c r="C16" s="70">
        <f>SUM(C6:F6)</f>
        <v>7836552</v>
      </c>
      <c r="D16" s="70">
        <f>SUM(C7:F7)</f>
        <v>1000000</v>
      </c>
      <c r="E16" s="70" t="e">
        <f>SUM(#REF!)</f>
        <v>#REF!</v>
      </c>
      <c r="F16" s="70" t="e">
        <f>SUM(#REF!)</f>
        <v>#REF!</v>
      </c>
      <c r="G16" s="70">
        <f>G11</f>
        <v>5932974.5599999996</v>
      </c>
      <c r="H16" s="103" t="e">
        <f>SUM(B16:G16)</f>
        <v>#REF!</v>
      </c>
    </row>
    <row r="17" spans="1:8" x14ac:dyDescent="0.3">
      <c r="A17" s="5" t="str">
        <f>K3</f>
        <v>LinuxONE</v>
      </c>
      <c r="B17" s="70">
        <f>SUM(L5:O5)</f>
        <v>5544000</v>
      </c>
      <c r="C17" s="70">
        <f>SUM(L6:O6)</f>
        <v>4493272</v>
      </c>
      <c r="D17" s="70">
        <f>SUM(L7:O7)</f>
        <v>100000</v>
      </c>
      <c r="E17" s="70" t="e">
        <f>SUM(#REF!)</f>
        <v>#REF!</v>
      </c>
      <c r="F17" s="70" t="e">
        <f>SUM(#REF!)</f>
        <v>#REF!</v>
      </c>
      <c r="G17" s="70">
        <f>P11</f>
        <v>336000</v>
      </c>
      <c r="H17" s="103" t="e">
        <f>SUM(B17:G17)</f>
        <v>#REF!</v>
      </c>
    </row>
    <row r="19" spans="1:8" x14ac:dyDescent="0.3">
      <c r="B19" t="s">
        <v>105</v>
      </c>
      <c r="C19" s="50" t="s">
        <v>100</v>
      </c>
      <c r="D19" s="50" t="s">
        <v>101</v>
      </c>
      <c r="E19" s="50" t="s">
        <v>102</v>
      </c>
      <c r="F19" s="50" t="s">
        <v>103</v>
      </c>
      <c r="G19" s="50" t="s">
        <v>104</v>
      </c>
    </row>
    <row r="20" spans="1:8" x14ac:dyDescent="0.3">
      <c r="B20" s="106" t="str">
        <f>B3</f>
        <v>x86</v>
      </c>
      <c r="C20" s="88">
        <f>'x86 TCO'!W126</f>
        <v>5518980.1600000001</v>
      </c>
      <c r="D20" s="88">
        <f>'x86 TCO'!X126</f>
        <v>8048040.3200000003</v>
      </c>
      <c r="E20" s="88">
        <f>'x86 TCO'!Y126</f>
        <v>10577100.48</v>
      </c>
      <c r="F20" s="88">
        <f>'x86 TCO'!Z126</f>
        <v>13202160.640000001</v>
      </c>
      <c r="G20" s="88">
        <f>'x86 TCO'!AA126</f>
        <v>15827220.800000001</v>
      </c>
    </row>
    <row r="21" spans="1:8" x14ac:dyDescent="0.3">
      <c r="B21" s="106" t="str">
        <f>K3</f>
        <v>LinuxONE</v>
      </c>
      <c r="C21" s="88">
        <f>'LinuxONE TCO'!W131</f>
        <v>6088677.5578947365</v>
      </c>
      <c r="D21" s="88">
        <f>'LinuxONE TCO'!X131</f>
        <v>6980403.1157894731</v>
      </c>
      <c r="E21" s="88">
        <f>'LinuxONE TCO'!Y131</f>
        <v>7872128.6736842096</v>
      </c>
      <c r="F21" s="88">
        <f>'LinuxONE TCO'!Z131</f>
        <v>9253854.2315789461</v>
      </c>
      <c r="G21" s="88">
        <f>'LinuxONE TCO'!AA131</f>
        <v>10635579.789473683</v>
      </c>
    </row>
    <row r="31" spans="1:8" x14ac:dyDescent="0.3">
      <c r="B31" s="39" t="s">
        <v>142</v>
      </c>
      <c r="C31" s="48" t="s">
        <v>1</v>
      </c>
      <c r="D31" s="48" t="s">
        <v>2</v>
      </c>
      <c r="E31" s="48" t="s">
        <v>20</v>
      </c>
    </row>
    <row r="32" spans="1:8" x14ac:dyDescent="0.3">
      <c r="B32" s="39" t="s">
        <v>106</v>
      </c>
      <c r="C32" s="68">
        <f>'x86 TCO'!R24</f>
        <v>480000</v>
      </c>
      <c r="D32" s="68">
        <f>'x86 TCO'!R35</f>
        <v>561288</v>
      </c>
      <c r="E32" s="70">
        <f>SUM(C32:D32)</f>
        <v>1041288</v>
      </c>
    </row>
    <row r="33" spans="2:6" x14ac:dyDescent="0.3">
      <c r="B33" s="39" t="s">
        <v>145</v>
      </c>
      <c r="C33" s="68">
        <f>'LinuxONE TCO'!R15</f>
        <v>4900000</v>
      </c>
      <c r="D33" s="68">
        <f>'LinuxONE TCO'!R31</f>
        <v>116368</v>
      </c>
      <c r="E33" s="70">
        <f>SUM(C33:D33)</f>
        <v>5016368</v>
      </c>
      <c r="F33" s="125">
        <f>E33/E32</f>
        <v>4.81746452470402</v>
      </c>
    </row>
    <row r="37" spans="2:6" x14ac:dyDescent="0.3">
      <c r="C37" s="130"/>
    </row>
  </sheetData>
  <mergeCells count="7">
    <mergeCell ref="L3:P3"/>
    <mergeCell ref="J5:J10"/>
    <mergeCell ref="A4:B4"/>
    <mergeCell ref="C3:G3"/>
    <mergeCell ref="A5:A10"/>
    <mergeCell ref="C7:G7"/>
    <mergeCell ref="L7:P7"/>
  </mergeCells>
  <phoneticPr fontId="5"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8A8D0-AC68-4181-9D83-710968B1F866}">
  <dimension ref="A1:AW309"/>
  <sheetViews>
    <sheetView workbookViewId="0">
      <selection activeCell="J49" sqref="J49"/>
    </sheetView>
  </sheetViews>
  <sheetFormatPr defaultRowHeight="14.4" x14ac:dyDescent="0.3"/>
  <cols>
    <col min="1" max="1" width="58.33203125" customWidth="1"/>
    <col min="2" max="24" width="13.109375" customWidth="1"/>
  </cols>
  <sheetData>
    <row r="1" spans="1:49" ht="28.8" x14ac:dyDescent="0.3">
      <c r="A1" s="182" t="s">
        <v>184</v>
      </c>
      <c r="B1" s="174" t="s">
        <v>224</v>
      </c>
      <c r="C1" s="18">
        <v>1.18</v>
      </c>
    </row>
    <row r="3" spans="1:49" s="59" customFormat="1" x14ac:dyDescent="0.3">
      <c r="A3" s="164" t="s">
        <v>185</v>
      </c>
    </row>
    <row r="4" spans="1:49" ht="24" x14ac:dyDescent="0.3">
      <c r="A4" s="10" t="s">
        <v>15</v>
      </c>
      <c r="B4" s="11" t="s">
        <v>21</v>
      </c>
      <c r="C4" s="11" t="s">
        <v>22</v>
      </c>
      <c r="D4" s="11" t="s">
        <v>16</v>
      </c>
      <c r="E4" s="11" t="s">
        <v>23</v>
      </c>
      <c r="F4" s="11" t="s">
        <v>25</v>
      </c>
      <c r="G4" s="11" t="s">
        <v>19</v>
      </c>
      <c r="H4" s="11" t="s">
        <v>24</v>
      </c>
      <c r="I4" s="11" t="s">
        <v>38</v>
      </c>
      <c r="J4" s="11" t="s">
        <v>17</v>
      </c>
      <c r="K4" s="11" t="s">
        <v>188</v>
      </c>
      <c r="L4" s="203" t="s">
        <v>190</v>
      </c>
      <c r="M4" s="203"/>
      <c r="N4" s="203"/>
      <c r="O4" s="203"/>
      <c r="P4" s="203"/>
      <c r="Q4" s="203"/>
      <c r="R4" s="203"/>
      <c r="S4" s="203"/>
      <c r="T4" s="203"/>
      <c r="U4" s="203"/>
      <c r="V4" s="203"/>
      <c r="W4" s="203"/>
      <c r="X4" s="203"/>
      <c r="Y4" s="203"/>
      <c r="Z4" s="203"/>
      <c r="AA4" s="203"/>
      <c r="AB4" s="3"/>
      <c r="AC4" s="3"/>
      <c r="AD4" s="3"/>
      <c r="AE4" s="3"/>
      <c r="AF4" s="3"/>
      <c r="AG4" s="3"/>
      <c r="AH4" s="3"/>
      <c r="AI4" s="3"/>
      <c r="AJ4" s="3"/>
      <c r="AK4" s="3"/>
      <c r="AL4" s="3"/>
      <c r="AM4" s="3"/>
      <c r="AN4" s="3"/>
      <c r="AO4" s="3"/>
      <c r="AP4" s="3"/>
      <c r="AQ4" s="3"/>
      <c r="AR4" s="3"/>
      <c r="AS4" s="3"/>
      <c r="AT4" s="3"/>
      <c r="AU4" s="3"/>
      <c r="AV4" s="3"/>
      <c r="AW4" s="3"/>
    </row>
    <row r="5" spans="1:49" x14ac:dyDescent="0.3">
      <c r="A5" s="167" t="s">
        <v>186</v>
      </c>
      <c r="B5" s="166">
        <f>ROUND(24549/C1, -2)</f>
        <v>20800</v>
      </c>
      <c r="C5" s="166">
        <f t="shared" ref="C5:C6" si="0">B5*0.2</f>
        <v>4160</v>
      </c>
      <c r="D5" s="168">
        <v>4</v>
      </c>
      <c r="E5" s="189">
        <v>0.37</v>
      </c>
      <c r="F5" s="169">
        <f t="shared" ref="F5:F6" si="1">G5*H5</f>
        <v>72</v>
      </c>
      <c r="G5" s="168">
        <v>4</v>
      </c>
      <c r="H5" s="168">
        <v>18</v>
      </c>
      <c r="I5" s="168">
        <v>10</v>
      </c>
      <c r="J5" s="171">
        <v>1.1000000000000001</v>
      </c>
      <c r="K5" s="129">
        <v>100</v>
      </c>
      <c r="L5" s="202" t="s">
        <v>191</v>
      </c>
      <c r="M5" s="202"/>
      <c r="N5" s="202"/>
      <c r="O5" s="202"/>
      <c r="P5" s="202"/>
      <c r="Q5" s="202"/>
      <c r="R5" s="202"/>
      <c r="S5" s="202"/>
      <c r="T5" s="202"/>
      <c r="U5" s="202"/>
      <c r="V5" s="202"/>
      <c r="W5" s="202"/>
      <c r="X5" s="202"/>
      <c r="Y5" s="202"/>
      <c r="Z5" s="202"/>
      <c r="AA5" s="202"/>
      <c r="AB5" s="3"/>
      <c r="AC5" s="3"/>
      <c r="AD5" s="3"/>
      <c r="AE5" s="3"/>
      <c r="AF5" s="3"/>
      <c r="AG5" s="3"/>
      <c r="AH5" s="3"/>
      <c r="AI5" s="3"/>
      <c r="AJ5" s="3"/>
      <c r="AK5" s="3"/>
      <c r="AL5" s="3"/>
      <c r="AM5" s="3"/>
      <c r="AN5" s="3"/>
      <c r="AO5" s="3"/>
      <c r="AP5" s="3"/>
      <c r="AQ5" s="3"/>
      <c r="AR5" s="3"/>
      <c r="AS5" s="3"/>
      <c r="AT5" s="3"/>
      <c r="AU5" s="3"/>
      <c r="AV5" s="3"/>
      <c r="AW5" s="3"/>
    </row>
    <row r="6" spans="1:49" x14ac:dyDescent="0.3">
      <c r="A6" s="167" t="s">
        <v>187</v>
      </c>
      <c r="B6" s="166">
        <v>8000</v>
      </c>
      <c r="C6" s="166">
        <f t="shared" si="0"/>
        <v>1600</v>
      </c>
      <c r="D6" s="168">
        <v>4</v>
      </c>
      <c r="E6" s="189">
        <v>0</v>
      </c>
      <c r="F6" s="169">
        <f t="shared" si="1"/>
        <v>40</v>
      </c>
      <c r="G6" s="168">
        <v>2</v>
      </c>
      <c r="H6" s="168">
        <v>20</v>
      </c>
      <c r="I6" s="168">
        <v>15</v>
      </c>
      <c r="J6" s="171">
        <v>1.6</v>
      </c>
      <c r="K6" s="129">
        <v>70</v>
      </c>
      <c r="L6" s="202" t="s">
        <v>192</v>
      </c>
      <c r="M6" s="202"/>
      <c r="N6" s="202"/>
      <c r="O6" s="202"/>
      <c r="P6" s="202"/>
      <c r="Q6" s="202"/>
      <c r="R6" s="202"/>
      <c r="S6" s="202"/>
      <c r="T6" s="202"/>
      <c r="U6" s="202"/>
      <c r="V6" s="202"/>
      <c r="W6" s="202"/>
      <c r="X6" s="202"/>
      <c r="Y6" s="202"/>
      <c r="Z6" s="202"/>
      <c r="AA6" s="202"/>
      <c r="AB6" s="3"/>
      <c r="AC6" s="3"/>
      <c r="AD6" s="3"/>
      <c r="AE6" s="3"/>
      <c r="AF6" s="3"/>
      <c r="AG6" s="3"/>
      <c r="AH6" s="3"/>
      <c r="AI6" s="3"/>
      <c r="AJ6" s="3"/>
      <c r="AK6" s="3"/>
      <c r="AL6" s="3"/>
      <c r="AM6" s="3"/>
      <c r="AN6" s="3"/>
      <c r="AO6" s="3"/>
      <c r="AP6" s="3"/>
      <c r="AQ6" s="3"/>
      <c r="AR6" s="3"/>
      <c r="AS6" s="3"/>
      <c r="AT6" s="3"/>
      <c r="AU6" s="3"/>
      <c r="AV6" s="3"/>
      <c r="AW6" s="3"/>
    </row>
    <row r="7" spans="1:49"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49" x14ac:dyDescent="0.3">
      <c r="A8" s="200" t="s">
        <v>189</v>
      </c>
      <c r="B8" s="200"/>
      <c r="C8" s="200"/>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10" spans="1:49" s="59" customFormat="1" x14ac:dyDescent="0.3">
      <c r="A10" s="164" t="s">
        <v>30</v>
      </c>
    </row>
    <row r="12" spans="1:49" x14ac:dyDescent="0.3">
      <c r="A12" s="188" t="str" cm="1">
        <f t="array" ref="A12">INDEX(A15:A21,$G$12)</f>
        <v>IBM WebSphere</v>
      </c>
      <c r="B12" s="188" cm="1">
        <f t="array" ref="B12">INDEX(B15:B21,$G$12)</f>
        <v>46.82</v>
      </c>
      <c r="C12" s="188" cm="1">
        <f t="array" ref="C12">INDEX(C15:C21,$G$12)</f>
        <v>9.36</v>
      </c>
      <c r="D12" s="188" cm="1">
        <f t="array" ref="D12">INDEX(D15:D21,$G$12)</f>
        <v>2</v>
      </c>
      <c r="E12" s="188" t="str" cm="1">
        <f t="array" ref="E12">INDEX(F15:F21,$G$12)</f>
        <v>PVU</v>
      </c>
      <c r="F12" s="188" t="str" cm="1">
        <f t="array" ref="F12">INDEX(G15:G21,$G$12)</f>
        <v>core</v>
      </c>
      <c r="G12" s="188">
        <f>MATCH("S",O15:O21)</f>
        <v>2</v>
      </c>
      <c r="I12" s="187"/>
      <c r="J12" s="187"/>
      <c r="K12" s="187"/>
      <c r="L12" s="187"/>
      <c r="M12" s="187"/>
      <c r="N12" s="187"/>
    </row>
    <row r="13" spans="1:49" s="165" customFormat="1" x14ac:dyDescent="0.3">
      <c r="A13" s="58" t="s">
        <v>199</v>
      </c>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row>
    <row r="14" spans="1:49" ht="28.8" x14ac:dyDescent="0.3">
      <c r="A14" s="10" t="s">
        <v>193</v>
      </c>
      <c r="B14" s="11" t="s">
        <v>21</v>
      </c>
      <c r="C14" s="11" t="s">
        <v>22</v>
      </c>
      <c r="D14" s="11" t="s">
        <v>163</v>
      </c>
      <c r="E14" s="11" t="s">
        <v>23</v>
      </c>
      <c r="F14" s="11" t="s">
        <v>64</v>
      </c>
      <c r="G14" s="131" t="s">
        <v>93</v>
      </c>
      <c r="H14" s="83" t="s">
        <v>94</v>
      </c>
      <c r="I14" s="179" t="s">
        <v>190</v>
      </c>
      <c r="J14" s="179"/>
      <c r="K14" s="179"/>
      <c r="L14" s="179"/>
      <c r="M14" s="179"/>
      <c r="N14" s="179"/>
      <c r="O14" s="10"/>
      <c r="P14" s="10"/>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49" x14ac:dyDescent="0.3">
      <c r="A15" s="170" t="s">
        <v>195</v>
      </c>
      <c r="B15" s="129">
        <f>ROUND(25000/C1, -2)</f>
        <v>21200</v>
      </c>
      <c r="C15" s="129">
        <f>ROUND(5500/C1, -2)</f>
        <v>4700</v>
      </c>
      <c r="D15" s="85">
        <v>1</v>
      </c>
      <c r="E15" s="190">
        <v>0</v>
      </c>
      <c r="F15" s="129" t="s">
        <v>34</v>
      </c>
      <c r="G15" s="129" t="s">
        <v>34</v>
      </c>
      <c r="H15" s="129">
        <v>0.5</v>
      </c>
      <c r="I15" s="183" t="s">
        <v>194</v>
      </c>
      <c r="J15" s="184"/>
      <c r="K15" s="184"/>
      <c r="L15" s="184"/>
      <c r="M15" s="184"/>
      <c r="N15" s="185"/>
      <c r="O15" s="85">
        <v>0</v>
      </c>
      <c r="P15" s="10"/>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49" x14ac:dyDescent="0.3">
      <c r="A16" s="170" t="s">
        <v>196</v>
      </c>
      <c r="B16" s="129">
        <f>ROUND(55.25/C1, 2)</f>
        <v>46.82</v>
      </c>
      <c r="C16" s="85">
        <f>ROUND(B16*20/100, 2)</f>
        <v>9.36</v>
      </c>
      <c r="D16" s="85">
        <v>2</v>
      </c>
      <c r="E16" s="190">
        <v>0</v>
      </c>
      <c r="F16" s="129" t="s">
        <v>95</v>
      </c>
      <c r="G16" s="129" t="s">
        <v>34</v>
      </c>
      <c r="H16" s="129" t="s">
        <v>198</v>
      </c>
      <c r="I16" s="183" t="s">
        <v>197</v>
      </c>
      <c r="J16" s="184"/>
      <c r="K16" s="184"/>
      <c r="L16" s="184"/>
      <c r="M16" s="184"/>
      <c r="N16" s="185"/>
      <c r="O16" s="85" t="s">
        <v>12</v>
      </c>
      <c r="P16" s="10"/>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49" x14ac:dyDescent="0.3">
      <c r="A17" s="10"/>
      <c r="B17" s="10"/>
      <c r="C17" s="10"/>
      <c r="D17" s="10"/>
      <c r="E17" s="10"/>
      <c r="F17" s="10"/>
      <c r="G17" s="10"/>
      <c r="H17" s="10"/>
      <c r="I17" s="10"/>
      <c r="J17" s="10"/>
      <c r="K17" s="10"/>
      <c r="L17" s="10"/>
      <c r="M17" s="10"/>
      <c r="N17" s="10"/>
      <c r="O17" s="10"/>
      <c r="P17" s="10"/>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49" s="59" customFormat="1" x14ac:dyDescent="0.3">
      <c r="A18" s="58" t="s">
        <v>200</v>
      </c>
      <c r="B18" s="60"/>
      <c r="C18" s="60"/>
      <c r="D18" s="60"/>
      <c r="E18" s="60"/>
      <c r="F18" s="60"/>
      <c r="G18" s="60"/>
      <c r="H18" s="60"/>
      <c r="I18" s="60"/>
      <c r="J18" s="60"/>
      <c r="K18" s="60"/>
      <c r="L18" s="60"/>
      <c r="M18" s="60"/>
      <c r="N18" s="60"/>
      <c r="O18" s="60"/>
      <c r="P18" s="60"/>
      <c r="Q18" s="172"/>
      <c r="R18" s="172"/>
      <c r="S18" s="172"/>
      <c r="T18" s="172"/>
      <c r="U18" s="172"/>
      <c r="V18" s="172"/>
      <c r="W18" s="172"/>
      <c r="X18" s="172"/>
      <c r="Y18" s="172"/>
      <c r="Z18" s="172"/>
      <c r="AA18" s="172"/>
      <c r="AB18" s="172"/>
      <c r="AC18" s="172"/>
      <c r="AD18" s="172"/>
      <c r="AE18" s="172"/>
      <c r="AF18" s="172"/>
      <c r="AG18" s="172"/>
      <c r="AH18" s="172"/>
      <c r="AI18" s="172"/>
      <c r="AJ18" s="172"/>
      <c r="AK18" s="172"/>
      <c r="AL18" s="172"/>
      <c r="AM18" s="172"/>
      <c r="AN18" s="172"/>
      <c r="AO18" s="172"/>
      <c r="AP18" s="172"/>
      <c r="AQ18" s="172"/>
      <c r="AR18" s="172"/>
      <c r="AS18" s="172"/>
      <c r="AT18" s="172"/>
      <c r="AU18" s="172"/>
      <c r="AV18" s="172"/>
      <c r="AW18" s="172"/>
    </row>
    <row r="19" spans="1:49" ht="28.8" x14ac:dyDescent="0.3">
      <c r="A19" s="10" t="s">
        <v>193</v>
      </c>
      <c r="B19" s="11" t="s">
        <v>21</v>
      </c>
      <c r="C19" s="11" t="s">
        <v>22</v>
      </c>
      <c r="D19" s="11" t="s">
        <v>163</v>
      </c>
      <c r="E19" s="11" t="s">
        <v>23</v>
      </c>
      <c r="F19" s="11" t="s">
        <v>64</v>
      </c>
      <c r="G19" s="131" t="s">
        <v>93</v>
      </c>
      <c r="H19" s="83" t="s">
        <v>94</v>
      </c>
      <c r="I19" s="186" t="s">
        <v>190</v>
      </c>
      <c r="J19" s="186"/>
      <c r="K19" s="186"/>
      <c r="L19" s="186"/>
      <c r="M19" s="186"/>
      <c r="N19" s="186"/>
      <c r="O19" s="10"/>
      <c r="P19" s="10"/>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49" x14ac:dyDescent="0.3">
      <c r="A20" s="170" t="s">
        <v>202</v>
      </c>
      <c r="B20" s="129">
        <v>0</v>
      </c>
      <c r="C20" s="129">
        <f>ROUND(12000/C1, -2)</f>
        <v>10200</v>
      </c>
      <c r="D20" s="85">
        <v>1</v>
      </c>
      <c r="E20" s="190">
        <v>0</v>
      </c>
      <c r="F20" s="129" t="s">
        <v>34</v>
      </c>
      <c r="G20" s="129" t="s">
        <v>34</v>
      </c>
      <c r="H20" s="175">
        <v>6.25E-2</v>
      </c>
      <c r="I20" s="183" t="s">
        <v>201</v>
      </c>
      <c r="J20" s="184"/>
      <c r="K20" s="184"/>
      <c r="L20" s="184"/>
      <c r="M20" s="184"/>
      <c r="N20" s="185"/>
      <c r="O20" s="85">
        <v>0</v>
      </c>
      <c r="P20" s="10"/>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row>
    <row r="21" spans="1:49" x14ac:dyDescent="0.3">
      <c r="A21" s="170" t="s">
        <v>203</v>
      </c>
      <c r="B21" s="129">
        <v>0</v>
      </c>
      <c r="C21" s="129" t="s">
        <v>205</v>
      </c>
      <c r="D21" s="129" t="s">
        <v>206</v>
      </c>
      <c r="E21" s="129" t="s">
        <v>206</v>
      </c>
      <c r="F21" s="129" t="s">
        <v>206</v>
      </c>
      <c r="G21" s="129" t="s">
        <v>206</v>
      </c>
      <c r="H21" s="129" t="s">
        <v>206</v>
      </c>
      <c r="I21" s="183" t="s">
        <v>204</v>
      </c>
      <c r="J21" s="184"/>
      <c r="K21" s="184"/>
      <c r="L21" s="184"/>
      <c r="M21" s="184"/>
      <c r="N21" s="185"/>
      <c r="O21" s="85">
        <v>0</v>
      </c>
      <c r="P21" s="10"/>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row>
    <row r="22" spans="1:49" x14ac:dyDescent="0.3">
      <c r="O22" s="10"/>
      <c r="P22" s="10"/>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row>
    <row r="23" spans="1:49" s="165" customFormat="1" x14ac:dyDescent="0.3">
      <c r="A23" s="164" t="s">
        <v>230</v>
      </c>
    </row>
    <row r="25" spans="1:49" x14ac:dyDescent="0.3">
      <c r="A25" s="188" t="str" cm="1">
        <f t="array" ref="A25">INDEX(A28:A34,$G$25)</f>
        <v>MongoDB</v>
      </c>
      <c r="B25" s="188" cm="1">
        <f t="array" ref="B25">INDEX(B28:B34,$G$25)</f>
        <v>0</v>
      </c>
      <c r="C25" s="188" cm="1">
        <f t="array" ref="C25">INDEX(C28:C34,$G$25)</f>
        <v>8500</v>
      </c>
      <c r="D25" s="188" cm="1">
        <f t="array" ref="D25">INDEX(D28:D34,$G$25)</f>
        <v>1</v>
      </c>
      <c r="E25" s="188" t="str" cm="1">
        <f t="array" ref="E25">INDEX(F28:F34,$G$25)</f>
        <v>server</v>
      </c>
      <c r="F25" s="188" t="str" cm="1">
        <f t="array" ref="F25">INDEX(G28:G34,$G$25)</f>
        <v>server</v>
      </c>
      <c r="G25" s="188">
        <f>MATCH("S",R28:R34)</f>
        <v>6</v>
      </c>
    </row>
    <row r="26" spans="1:49" s="59" customFormat="1" x14ac:dyDescent="0.3">
      <c r="A26" s="58" t="s">
        <v>207</v>
      </c>
      <c r="B26" s="60"/>
      <c r="C26" s="60"/>
      <c r="D26" s="60"/>
      <c r="E26" s="60"/>
      <c r="F26" s="60"/>
      <c r="G26" s="60"/>
      <c r="H26" s="60"/>
      <c r="I26" s="60"/>
      <c r="J26" s="60"/>
      <c r="K26" s="60"/>
      <c r="L26" s="60"/>
      <c r="M26" s="60"/>
      <c r="N26" s="60"/>
      <c r="O26" s="60"/>
      <c r="P26" s="60"/>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row>
    <row r="27" spans="1:49" ht="28.8" x14ac:dyDescent="0.3">
      <c r="A27" s="10" t="s">
        <v>193</v>
      </c>
      <c r="B27" s="11" t="s">
        <v>21</v>
      </c>
      <c r="C27" s="11" t="s">
        <v>22</v>
      </c>
      <c r="D27" s="11" t="s">
        <v>163</v>
      </c>
      <c r="E27" s="11" t="s">
        <v>23</v>
      </c>
      <c r="F27" s="11" t="s">
        <v>64</v>
      </c>
      <c r="G27" s="131" t="s">
        <v>93</v>
      </c>
      <c r="H27" s="83" t="s">
        <v>94</v>
      </c>
      <c r="I27" s="11" t="s">
        <v>208</v>
      </c>
      <c r="J27" s="186" t="s">
        <v>190</v>
      </c>
      <c r="K27" s="186"/>
      <c r="L27" s="186"/>
      <c r="M27" s="186"/>
      <c r="N27" s="186"/>
      <c r="O27" s="186"/>
      <c r="P27" s="186"/>
      <c r="Q27" s="186"/>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row>
    <row r="28" spans="1:49" x14ac:dyDescent="0.3">
      <c r="A28" s="170" t="s">
        <v>209</v>
      </c>
      <c r="B28" s="129">
        <f>ROUND(47500/C1, -2)</f>
        <v>40300</v>
      </c>
      <c r="C28" s="129">
        <f>ROUND(10450/C1, -2)</f>
        <v>8900</v>
      </c>
      <c r="D28" s="85">
        <v>1</v>
      </c>
      <c r="E28" s="190">
        <v>0</v>
      </c>
      <c r="F28" s="129" t="s">
        <v>34</v>
      </c>
      <c r="G28" s="129" t="s">
        <v>34</v>
      </c>
      <c r="H28" s="129">
        <v>0.5</v>
      </c>
      <c r="I28" s="129" t="str">
        <f xml:space="preserve"> _xlfn.CONCAT(ROUND(3500/C1,-2), " / stream")</f>
        <v>3000 / stream</v>
      </c>
      <c r="J28" s="183" t="s">
        <v>194</v>
      </c>
      <c r="K28" s="184"/>
      <c r="L28" s="184"/>
      <c r="M28" s="184"/>
      <c r="N28" s="184"/>
      <c r="O28" s="184"/>
      <c r="P28" s="184"/>
      <c r="Q28" s="185"/>
      <c r="R28" s="85">
        <v>0</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row>
    <row r="29" spans="1:49" x14ac:dyDescent="0.3">
      <c r="A29" s="170" t="s">
        <v>210</v>
      </c>
      <c r="B29" s="129">
        <f>ROUND(13748/C1, -2)</f>
        <v>11700</v>
      </c>
      <c r="C29" s="129">
        <f>B29*20/100</f>
        <v>2340</v>
      </c>
      <c r="D29" s="85">
        <v>1</v>
      </c>
      <c r="E29" s="190">
        <v>0</v>
      </c>
      <c r="F29" s="129" t="s">
        <v>34</v>
      </c>
      <c r="G29" s="129" t="s">
        <v>34</v>
      </c>
      <c r="H29" s="129">
        <v>0.5</v>
      </c>
      <c r="I29" s="129" t="s">
        <v>218</v>
      </c>
      <c r="J29" s="183" t="s">
        <v>214</v>
      </c>
      <c r="K29" s="184"/>
      <c r="L29" s="184"/>
      <c r="M29" s="184"/>
      <c r="N29" s="184"/>
      <c r="O29" s="184"/>
      <c r="P29" s="184"/>
      <c r="Q29" s="185"/>
      <c r="R29" s="85">
        <v>0</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row>
    <row r="30" spans="1:49" x14ac:dyDescent="0.3">
      <c r="A30" s="10"/>
      <c r="B30" s="10"/>
      <c r="C30" s="10"/>
      <c r="D30" s="10"/>
      <c r="E30" s="10"/>
      <c r="F30" s="10"/>
      <c r="G30" s="10"/>
      <c r="H30" s="176"/>
      <c r="I30" s="10"/>
      <c r="J30" s="10"/>
      <c r="K30" s="10"/>
      <c r="L30" s="10"/>
      <c r="M30" s="10"/>
      <c r="N30" s="10"/>
      <c r="O30" s="10"/>
      <c r="P30" s="10"/>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row>
    <row r="31" spans="1:49" s="59" customFormat="1" x14ac:dyDescent="0.3">
      <c r="A31" s="58" t="s">
        <v>211</v>
      </c>
      <c r="B31" s="60"/>
      <c r="C31" s="60"/>
      <c r="D31" s="60"/>
      <c r="E31" s="60"/>
      <c r="F31" s="60"/>
      <c r="G31" s="60"/>
      <c r="H31" s="60"/>
      <c r="I31" s="60"/>
      <c r="J31" s="60"/>
      <c r="K31" s="60"/>
      <c r="L31" s="60"/>
      <c r="M31" s="60"/>
      <c r="N31" s="60"/>
      <c r="O31" s="60"/>
      <c r="P31" s="60"/>
      <c r="Q31" s="172"/>
      <c r="R31" s="172"/>
      <c r="S31" s="172"/>
      <c r="T31" s="172"/>
      <c r="U31" s="172"/>
      <c r="V31" s="172"/>
      <c r="W31" s="172"/>
      <c r="X31" s="172"/>
      <c r="Y31" s="172"/>
      <c r="Z31" s="172"/>
      <c r="AA31" s="172"/>
      <c r="AB31" s="172"/>
      <c r="AC31" s="172"/>
      <c r="AD31" s="172"/>
      <c r="AE31" s="172"/>
      <c r="AF31" s="172"/>
      <c r="AG31" s="172"/>
      <c r="AH31" s="172"/>
      <c r="AI31" s="172"/>
      <c r="AJ31" s="172"/>
      <c r="AK31" s="172"/>
      <c r="AL31" s="172"/>
      <c r="AM31" s="172"/>
      <c r="AN31" s="172"/>
      <c r="AO31" s="172"/>
      <c r="AP31" s="172"/>
      <c r="AQ31" s="172"/>
      <c r="AR31" s="172"/>
      <c r="AS31" s="172"/>
      <c r="AT31" s="172"/>
      <c r="AU31" s="172"/>
      <c r="AV31" s="172"/>
      <c r="AW31" s="172"/>
    </row>
    <row r="32" spans="1:49" ht="28.8" x14ac:dyDescent="0.3">
      <c r="A32" s="10" t="s">
        <v>193</v>
      </c>
      <c r="B32" s="11" t="s">
        <v>21</v>
      </c>
      <c r="C32" s="11" t="s">
        <v>22</v>
      </c>
      <c r="D32" s="11" t="s">
        <v>163</v>
      </c>
      <c r="E32" s="11" t="s">
        <v>23</v>
      </c>
      <c r="F32" s="11" t="s">
        <v>64</v>
      </c>
      <c r="G32" s="131" t="s">
        <v>93</v>
      </c>
      <c r="H32" s="83" t="s">
        <v>94</v>
      </c>
      <c r="I32" s="11" t="s">
        <v>208</v>
      </c>
      <c r="J32" s="186" t="s">
        <v>190</v>
      </c>
      <c r="K32" s="186"/>
      <c r="L32" s="186"/>
      <c r="M32" s="186"/>
      <c r="N32" s="186"/>
      <c r="O32" s="186"/>
      <c r="P32" s="186"/>
      <c r="Q32" s="186"/>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row>
    <row r="33" spans="1:49" x14ac:dyDescent="0.3">
      <c r="A33" s="170" t="s">
        <v>212</v>
      </c>
      <c r="B33" s="129">
        <v>0</v>
      </c>
      <c r="C33" s="129">
        <f>ROUND(10000/C1,-2)</f>
        <v>8500</v>
      </c>
      <c r="D33" s="85">
        <v>1</v>
      </c>
      <c r="E33" s="190">
        <v>0</v>
      </c>
      <c r="F33" s="129" t="s">
        <v>35</v>
      </c>
      <c r="G33" s="129" t="s">
        <v>35</v>
      </c>
      <c r="H33" s="129">
        <v>1</v>
      </c>
      <c r="I33" s="129" t="s">
        <v>219</v>
      </c>
      <c r="J33" s="183" t="s">
        <v>215</v>
      </c>
      <c r="K33" s="184"/>
      <c r="L33" s="184"/>
      <c r="M33" s="184"/>
      <c r="N33" s="184"/>
      <c r="O33" s="184"/>
      <c r="P33" s="184"/>
      <c r="Q33" s="185"/>
      <c r="R33" s="85" t="s">
        <v>12</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row>
    <row r="34" spans="1:49" x14ac:dyDescent="0.3">
      <c r="A34" s="170" t="s">
        <v>213</v>
      </c>
      <c r="B34" s="129">
        <v>0</v>
      </c>
      <c r="C34" s="129">
        <f>ROUND(85000/C1,-2)</f>
        <v>72000</v>
      </c>
      <c r="D34" s="85">
        <v>1</v>
      </c>
      <c r="E34" s="190">
        <v>0</v>
      </c>
      <c r="F34" s="129" t="s">
        <v>217</v>
      </c>
      <c r="G34" s="129" t="s">
        <v>217</v>
      </c>
      <c r="H34" s="129">
        <v>1</v>
      </c>
      <c r="I34" s="129" t="s">
        <v>220</v>
      </c>
      <c r="J34" s="183" t="s">
        <v>216</v>
      </c>
      <c r="K34" s="184"/>
      <c r="L34" s="184"/>
      <c r="M34" s="184"/>
      <c r="N34" s="184"/>
      <c r="O34" s="184"/>
      <c r="P34" s="184"/>
      <c r="Q34" s="185"/>
      <c r="R34" s="85">
        <v>0</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row>
    <row r="35" spans="1:49" x14ac:dyDescent="0.3">
      <c r="A35" s="173"/>
      <c r="B35" s="10"/>
      <c r="C35" s="10"/>
      <c r="D35" s="10"/>
      <c r="E35" s="10"/>
      <c r="F35" s="10"/>
      <c r="G35" s="10"/>
      <c r="H35" s="10"/>
      <c r="I35" s="10"/>
      <c r="J35" s="10"/>
      <c r="K35" s="10"/>
      <c r="L35" s="10"/>
      <c r="M35" s="10"/>
      <c r="N35" s="10"/>
      <c r="O35" s="10"/>
      <c r="P35" s="10"/>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row>
    <row r="36" spans="1:49" x14ac:dyDescent="0.3">
      <c r="A36" s="180" t="s">
        <v>221</v>
      </c>
      <c r="B36" s="180"/>
      <c r="C36" s="180"/>
      <c r="D36" s="180"/>
      <c r="E36" s="180"/>
      <c r="F36" s="177">
        <v>0</v>
      </c>
      <c r="H36" s="3" t="s">
        <v>223</v>
      </c>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row>
    <row r="37" spans="1:49" x14ac:dyDescent="0.3">
      <c r="A37" s="180" t="s">
        <v>227</v>
      </c>
      <c r="B37" s="180"/>
      <c r="C37" s="180"/>
      <c r="D37" s="180"/>
      <c r="E37" s="180"/>
      <c r="F37" s="177">
        <v>0</v>
      </c>
      <c r="G37" s="3"/>
      <c r="H37" s="201" t="s">
        <v>231</v>
      </c>
      <c r="I37" s="201"/>
      <c r="J37" s="201"/>
      <c r="K37" s="201"/>
      <c r="L37" s="201"/>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row>
    <row r="38" spans="1:49" x14ac:dyDescent="0.3">
      <c r="A38" s="180" t="s">
        <v>222</v>
      </c>
      <c r="B38" s="180"/>
      <c r="C38" s="180"/>
      <c r="D38" s="180"/>
      <c r="E38" s="180"/>
      <c r="F38" s="177">
        <v>0</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row>
    <row r="39" spans="1:49" x14ac:dyDescent="0.3">
      <c r="A39" s="3"/>
      <c r="B39" s="3"/>
      <c r="C39" s="3"/>
      <c r="D39" s="3"/>
      <c r="E39" s="3"/>
      <c r="F39" s="178"/>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row>
    <row r="40" spans="1:49" x14ac:dyDescent="0.3">
      <c r="A40" t="s">
        <v>229</v>
      </c>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row>
    <row r="41" spans="1:49" x14ac:dyDescent="0.3">
      <c r="A41" s="200" t="s">
        <v>228</v>
      </c>
      <c r="B41" s="200"/>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row>
    <row r="42" spans="1:49"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row>
    <row r="43" spans="1:49"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row>
    <row r="44" spans="1:49" x14ac:dyDescent="0.3">
      <c r="A44" s="3"/>
      <c r="C44" s="205" t="s">
        <v>232</v>
      </c>
      <c r="D44" s="205"/>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row>
    <row r="45" spans="1:49" x14ac:dyDescent="0.3">
      <c r="A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row>
    <row r="46" spans="1:49" x14ac:dyDescent="0.3">
      <c r="A46" s="3"/>
      <c r="C46">
        <v>100</v>
      </c>
      <c r="D46">
        <v>200</v>
      </c>
      <c r="E46">
        <v>500</v>
      </c>
      <c r="F46">
        <v>1000</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row>
    <row r="47" spans="1:49" x14ac:dyDescent="0.3">
      <c r="A47" s="3"/>
      <c r="B47" t="s">
        <v>106</v>
      </c>
      <c r="C47" s="204">
        <v>859910.94000000006</v>
      </c>
      <c r="D47" s="204">
        <v>1042588.4400000001</v>
      </c>
      <c r="E47" s="204">
        <v>2069664.3</v>
      </c>
      <c r="F47" s="204">
        <v>3492667.7399999998</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row>
    <row r="48" spans="1:49" x14ac:dyDescent="0.3">
      <c r="A48" s="3"/>
      <c r="B48" t="s">
        <v>145</v>
      </c>
      <c r="C48">
        <v>1484198.5263157894</v>
      </c>
      <c r="D48" s="204">
        <v>1484198.5263157894</v>
      </c>
      <c r="E48" s="204">
        <v>1722780.3157894737</v>
      </c>
      <c r="F48" s="204">
        <v>2129362.1052631582</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row>
    <row r="49" spans="1:49"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row>
    <row r="50" spans="1:49"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row>
    <row r="51" spans="1:49"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row>
    <row r="52" spans="1:49"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row>
    <row r="53" spans="1:49"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row>
    <row r="54" spans="1:49"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row>
    <row r="55" spans="1:49"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row>
    <row r="56" spans="1:49"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row>
    <row r="57" spans="1:49"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row>
    <row r="58" spans="1:49"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row>
    <row r="59" spans="1:49"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row>
    <row r="60" spans="1:49"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row>
    <row r="61" spans="1:49"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row>
    <row r="62" spans="1:49"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row>
    <row r="63" spans="1:49"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row>
    <row r="64" spans="1:49"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row>
    <row r="65" spans="1:49"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row>
    <row r="66" spans="1:49"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row>
    <row r="67" spans="1:49"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row>
    <row r="68" spans="1:49"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row>
    <row r="69" spans="1:49"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row>
    <row r="70" spans="1:49"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row>
    <row r="71" spans="1:49"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row>
    <row r="72" spans="1:49"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row>
    <row r="73" spans="1:49"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row>
    <row r="74" spans="1:49"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row>
    <row r="75" spans="1:49"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row>
    <row r="76" spans="1:49"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row>
    <row r="77" spans="1:49"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row>
    <row r="78" spans="1:49"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row>
    <row r="79" spans="1:49"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row>
    <row r="80" spans="1:49"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row>
    <row r="81" spans="1:49"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row>
    <row r="82" spans="1:49"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row>
    <row r="83" spans="1:49"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row>
    <row r="84" spans="1:49"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row>
    <row r="85" spans="1:49"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row>
    <row r="86" spans="1:49"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row>
    <row r="87" spans="1:49"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row>
    <row r="88" spans="1:49"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row>
    <row r="89" spans="1:49"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row>
    <row r="90" spans="1:49"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row>
    <row r="91" spans="1:49"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row>
    <row r="92" spans="1:49"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row>
    <row r="93" spans="1:49"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row>
    <row r="94" spans="1:49"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row>
    <row r="95" spans="1:49"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row>
    <row r="96" spans="1:49"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row>
    <row r="97" spans="1:49"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row>
    <row r="98" spans="1:49"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row>
    <row r="99" spans="1:49"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row>
    <row r="100" spans="1:49"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row>
    <row r="101" spans="1:49"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row>
    <row r="102" spans="1:49"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row>
    <row r="103" spans="1:49"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row>
    <row r="104" spans="1:49"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row>
    <row r="105" spans="1:49"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row>
    <row r="106" spans="1:49"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row>
    <row r="107" spans="1:49"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row>
    <row r="108" spans="1:49"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row>
    <row r="109" spans="1:49"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row>
    <row r="110" spans="1:49"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row>
    <row r="111" spans="1:49"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row>
    <row r="112" spans="1:49"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row>
    <row r="113" spans="1:49"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row>
    <row r="114" spans="1:49"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row>
    <row r="115" spans="1:49"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row>
    <row r="116" spans="1:49"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row>
    <row r="117" spans="1:49"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row>
    <row r="118" spans="1:49"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row>
    <row r="119" spans="1:49"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row>
    <row r="120" spans="1:49"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row>
    <row r="121" spans="1:49"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row>
    <row r="122" spans="1:49"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row>
    <row r="123" spans="1:49"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row>
    <row r="124" spans="1:49"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row>
    <row r="125" spans="1:49"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row>
    <row r="126" spans="1:49"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row>
    <row r="127" spans="1:49"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row>
    <row r="128" spans="1:49"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row>
    <row r="129" spans="1:49"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row>
    <row r="130" spans="1:49"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row>
    <row r="131" spans="1:49"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row>
    <row r="132" spans="1:49"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row>
    <row r="133" spans="1:49"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row>
    <row r="134" spans="1:49"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row>
    <row r="135" spans="1:49"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row>
    <row r="136" spans="1:49"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row>
    <row r="137" spans="1:49"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row>
    <row r="138" spans="1:49"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row>
    <row r="139" spans="1:49"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row>
    <row r="140" spans="1:49"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row>
    <row r="141" spans="1:49"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row>
    <row r="142" spans="1:49"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row>
    <row r="143" spans="1:49"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row>
    <row r="144" spans="1:49"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row>
    <row r="145" spans="1:49"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row>
    <row r="146" spans="1:49"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row>
    <row r="147" spans="1:49"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row>
    <row r="148" spans="1:49"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row>
    <row r="149" spans="1:49"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row>
    <row r="150" spans="1:49"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row>
    <row r="151" spans="1:49"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row>
    <row r="152" spans="1:49"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row>
    <row r="153" spans="1:49"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row>
    <row r="154" spans="1:49"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row>
    <row r="155" spans="1:49"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row>
    <row r="156" spans="1:49"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row>
    <row r="157" spans="1:49"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row>
    <row r="158" spans="1:49"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row>
    <row r="159" spans="1:49"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row>
    <row r="160" spans="1:49"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row>
    <row r="161" spans="1:49"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row>
    <row r="162" spans="1:49"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row>
    <row r="163" spans="1:49"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row>
    <row r="164" spans="1:49"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row>
    <row r="165" spans="1:49"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row>
    <row r="166" spans="1:49"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row>
    <row r="167" spans="1:49"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row>
    <row r="168" spans="1:49"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row>
    <row r="169" spans="1:49"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row>
    <row r="170" spans="1:49"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row>
    <row r="171" spans="1:49"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row>
    <row r="172" spans="1:49"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row>
    <row r="173" spans="1:49"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row>
    <row r="174" spans="1:49"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row>
    <row r="175" spans="1:49"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row>
    <row r="176" spans="1:49"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row>
    <row r="177" spans="1:49"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row>
    <row r="178" spans="1:49"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row>
    <row r="179" spans="1:49"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row>
    <row r="180" spans="1:49"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row>
    <row r="181" spans="1:49"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row>
    <row r="182" spans="1:49"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row>
    <row r="183" spans="1:49"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row>
    <row r="184" spans="1:49"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row>
    <row r="185" spans="1:49"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row>
    <row r="186" spans="1:49"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row>
    <row r="187" spans="1:49"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row>
    <row r="188" spans="1:49"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row>
    <row r="189" spans="1:49"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row>
    <row r="190" spans="1:49"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row>
    <row r="191" spans="1:49"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row>
    <row r="192" spans="1:49"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row>
    <row r="193" spans="1:49"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row>
    <row r="194" spans="1:49"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row>
    <row r="195" spans="1:49"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row>
    <row r="196" spans="1:49"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row>
    <row r="197" spans="1:49"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row>
    <row r="198" spans="1:49"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row>
    <row r="199" spans="1:49"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row>
    <row r="200" spans="1:49"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row>
    <row r="201" spans="1:49"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row>
    <row r="202" spans="1:49"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row>
    <row r="203" spans="1:49"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row>
    <row r="204" spans="1:49"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row>
    <row r="205" spans="1:49"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row>
    <row r="206" spans="1:49"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row>
    <row r="207" spans="1:49"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row>
    <row r="208" spans="1:49"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row>
    <row r="209" spans="1:49"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row>
    <row r="210" spans="1:49"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row>
    <row r="211" spans="1:49"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row>
    <row r="212" spans="1:49"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row>
    <row r="213" spans="1:49"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row>
    <row r="214" spans="1:49"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row>
    <row r="215" spans="1:49"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row>
    <row r="216" spans="1:49"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row>
    <row r="217" spans="1:49"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row>
    <row r="218" spans="1:49"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row>
    <row r="219" spans="1:49"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row>
    <row r="220" spans="1:49"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row>
    <row r="221" spans="1:49"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row>
    <row r="222" spans="1:49"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row>
    <row r="223" spans="1:49"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row>
    <row r="224" spans="1:49"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row>
    <row r="225" spans="1:49"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row>
    <row r="226" spans="1:49"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row>
    <row r="227" spans="1:49"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row>
    <row r="228" spans="1:49"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row>
    <row r="229" spans="1:49"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row>
    <row r="230" spans="1:49"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row>
    <row r="231" spans="1:49"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row>
    <row r="232" spans="1:49"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row>
    <row r="233" spans="1:49"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row>
    <row r="234" spans="1:49"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row>
    <row r="235" spans="1:49"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row>
    <row r="236" spans="1:49"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row>
    <row r="237" spans="1:49"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row>
    <row r="238" spans="1:49"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row>
    <row r="239" spans="1:49"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row>
    <row r="240" spans="1:49"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row>
    <row r="241" spans="1:49"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row>
    <row r="242" spans="1:49"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row>
    <row r="243" spans="1:49"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row>
    <row r="244" spans="1:49"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row>
    <row r="245" spans="1:49"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row>
    <row r="246" spans="1:49"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row>
    <row r="247" spans="1:49"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row>
    <row r="248" spans="1:49"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row>
    <row r="249" spans="1:49"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row>
    <row r="250" spans="1:49"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row>
    <row r="251" spans="1:49"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row>
    <row r="252" spans="1:49"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row>
    <row r="253" spans="1:49"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row>
    <row r="254" spans="1:49"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row>
    <row r="255" spans="1:49"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row>
    <row r="256" spans="1:49"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row>
    <row r="257" spans="1:49"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row>
    <row r="258" spans="1:49"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row>
    <row r="259" spans="1:49"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row>
    <row r="260" spans="1:49"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row>
    <row r="261" spans="1:49"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row>
    <row r="262" spans="1:49"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row>
    <row r="263" spans="1:49"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row>
    <row r="264" spans="1:49"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row>
    <row r="265" spans="1:49"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row>
    <row r="266" spans="1:49"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row>
    <row r="267" spans="1:49"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row>
    <row r="268" spans="1:49"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row>
    <row r="269" spans="1:49"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row>
    <row r="270" spans="1:49"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row>
    <row r="271" spans="1:49"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row>
    <row r="272" spans="1:49"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row>
    <row r="273" spans="1:49"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row>
    <row r="274" spans="1:49"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row>
    <row r="275" spans="1:49"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row>
    <row r="276" spans="1:49"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row>
    <row r="277" spans="1:49"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row>
    <row r="278" spans="1:49"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row>
    <row r="279" spans="1:49"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row>
    <row r="280" spans="1:49"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row>
    <row r="281" spans="1:49"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row>
    <row r="282" spans="1:49"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row>
    <row r="283" spans="1:49"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row>
    <row r="284" spans="1:49"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row>
    <row r="285" spans="1:49"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row>
    <row r="286" spans="1:49"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row>
    <row r="287" spans="1:49"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row>
    <row r="288" spans="1:49"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row>
    <row r="289" spans="1:49"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row>
    <row r="290" spans="1:49"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row>
    <row r="291" spans="1:49"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row>
    <row r="292" spans="1:49"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row>
    <row r="293" spans="1:49"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row>
    <row r="294" spans="1:49"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row>
    <row r="295" spans="1:49"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row>
    <row r="296" spans="1:49"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row>
    <row r="297" spans="1:49"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row>
    <row r="298" spans="1:49"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row>
    <row r="299" spans="1:49"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row>
    <row r="300" spans="1:49"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row>
    <row r="301" spans="1:49"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row>
    <row r="302" spans="1:49"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row>
    <row r="303" spans="1:49"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row>
    <row r="304" spans="1:49"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row>
    <row r="305" spans="1:49"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row>
    <row r="306" spans="1:49"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row>
    <row r="307" spans="1:49"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row>
    <row r="308" spans="1:49"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row>
    <row r="309" spans="1:49"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row>
  </sheetData>
  <mergeCells count="7">
    <mergeCell ref="C44:D44"/>
    <mergeCell ref="A41:B41"/>
    <mergeCell ref="H37:L37"/>
    <mergeCell ref="L6:AA6"/>
    <mergeCell ref="L5:AA5"/>
    <mergeCell ref="L4:AA4"/>
    <mergeCell ref="A8:C8"/>
  </mergeCells>
  <hyperlinks>
    <hyperlink ref="A8" r:id="rId1" xr:uid="{625D6329-5B2C-4926-B49B-AABA124F1F7E}"/>
    <hyperlink ref="L5" r:id="rId2" xr:uid="{6F3E16C8-0DC4-45E7-ABCA-66528D3AF04C}"/>
    <hyperlink ref="L6" r:id="rId3" xr:uid="{F3D82DA8-7969-4ED3-A467-29A2F585F1C7}"/>
    <hyperlink ref="I15" r:id="rId4" xr:uid="{0D8DF653-C9DC-4E69-B682-A7F22931EA14}"/>
    <hyperlink ref="I16" r:id="rId5" xr:uid="{D55D949C-CB62-4A48-BCC0-900FE8AC8328}"/>
    <hyperlink ref="I21" r:id="rId6" xr:uid="{AB8FD15D-4EAF-4D03-AED7-2B3EB4826674}"/>
    <hyperlink ref="I20" r:id="rId7" xr:uid="{60DDE1C8-6134-4DDE-A46B-421967814176}"/>
    <hyperlink ref="J28" r:id="rId8" xr:uid="{1351DE90-0C3A-4E81-9DC5-E50268E8C171}"/>
    <hyperlink ref="J29" r:id="rId9" xr:uid="{63BA91F0-DA14-48E3-A7A6-8C24EAFA5F58}"/>
    <hyperlink ref="J33" r:id="rId10" xr:uid="{EED69086-59A1-432C-8716-324CAB395FA8}"/>
    <hyperlink ref="J34" r:id="rId11" xr:uid="{DE3D21AD-F7DF-4A40-A931-F369DED981BA}"/>
    <hyperlink ref="A36" r:id="rId12" xr:uid="{2AC8EB89-7FDA-456B-8D1D-503A7B2B74FB}"/>
    <hyperlink ref="A37" r:id="rId13" xr:uid="{11333900-C938-4531-ACF0-8A26EAA011C3}"/>
    <hyperlink ref="A38" r:id="rId14" xr:uid="{8F56C84D-0AC5-4973-B60D-149CF093491C}"/>
    <hyperlink ref="A41" r:id="rId15" xr:uid="{C52CE248-4168-4B4E-B9D6-E066379FB41F}"/>
  </hyperlinks>
  <pageMargins left="0.7" right="0.7" top="0.75" bottom="0.75" header="0.3" footer="0.3"/>
  <pageSetup paperSize="9" orientation="portrait" horizontalDpi="300" verticalDpi="300" r:id="rId16"/>
  <drawing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sizing</vt:lpstr>
      <vt:lpstr>x86 TCO</vt:lpstr>
      <vt:lpstr>LinuxONE TCO</vt:lpstr>
      <vt:lpstr>TCO comparison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Giuseppe Calavaro</dc:creator>
  <cp:lastModifiedBy>Lorenzo</cp:lastModifiedBy>
  <dcterms:created xsi:type="dcterms:W3CDTF">2015-06-05T18:17:20Z</dcterms:created>
  <dcterms:modified xsi:type="dcterms:W3CDTF">2021-04-01T21:32:02Z</dcterms:modified>
</cp:coreProperties>
</file>